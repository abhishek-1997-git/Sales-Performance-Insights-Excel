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dkpan\Downloads\sales performace analytics\"/>
    </mc:Choice>
  </mc:AlternateContent>
  <xr:revisionPtr revIDLastSave="0" documentId="13_ncr:1_{00DBF085-662C-4F98-AFA7-B8B47E3D927B}" xr6:coauthVersionLast="47" xr6:coauthVersionMax="47" xr10:uidLastSave="{00000000-0000-0000-0000-000000000000}"/>
  <bookViews>
    <workbookView xWindow="-110" yWindow="-110" windowWidth="19420" windowHeight="10300" xr2:uid="{00000000-000D-0000-FFFF-FFFF00000000}"/>
  </bookViews>
  <sheets>
    <sheet name="Analysis" sheetId="5" r:id="rId1"/>
    <sheet name="Customers" sheetId="1" r:id="rId2"/>
    <sheet name="Products" sheetId="2" r:id="rId3"/>
    <sheet name="Orders" sheetId="3" r:id="rId4"/>
  </sheets>
  <definedNames>
    <definedName name="Slicer_Category">#N/A</definedName>
    <definedName name="Slicer_City">#N/A</definedName>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3" i="5" l="1"/>
  <c r="K23" i="5"/>
  <c r="F23" i="5"/>
  <c r="A23" i="5"/>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2" i="3"/>
  <c r="H2" i="3"/>
  <c r="J2" i="3" s="1"/>
  <c r="H3" i="3"/>
  <c r="J3" i="3" s="1"/>
  <c r="H4" i="3"/>
  <c r="J4" i="3" s="1"/>
  <c r="H5" i="3"/>
  <c r="J5" i="3" s="1"/>
  <c r="H6" i="3"/>
  <c r="J6" i="3" s="1"/>
  <c r="H7" i="3"/>
  <c r="J7" i="3" s="1"/>
  <c r="H8" i="3"/>
  <c r="J8" i="3" s="1"/>
  <c r="H9" i="3"/>
  <c r="J9" i="3" s="1"/>
  <c r="H10" i="3"/>
  <c r="J10" i="3" s="1"/>
  <c r="H11" i="3"/>
  <c r="J11" i="3" s="1"/>
  <c r="H12" i="3"/>
  <c r="J12" i="3" s="1"/>
  <c r="H13" i="3"/>
  <c r="J13" i="3" s="1"/>
  <c r="H14" i="3"/>
  <c r="J14" i="3" s="1"/>
  <c r="H15" i="3"/>
  <c r="J15" i="3" s="1"/>
  <c r="H16" i="3"/>
  <c r="J16" i="3" s="1"/>
  <c r="H17" i="3"/>
  <c r="J17" i="3" s="1"/>
  <c r="H18" i="3"/>
  <c r="J18" i="3" s="1"/>
  <c r="H19" i="3"/>
  <c r="J19" i="3" s="1"/>
  <c r="H20" i="3"/>
  <c r="J20" i="3" s="1"/>
  <c r="H21" i="3"/>
  <c r="J21" i="3" s="1"/>
  <c r="H22" i="3"/>
  <c r="J22" i="3" s="1"/>
  <c r="H23" i="3"/>
  <c r="J23" i="3" s="1"/>
  <c r="H24" i="3"/>
  <c r="J24" i="3" s="1"/>
  <c r="H25" i="3"/>
  <c r="J25" i="3" s="1"/>
  <c r="H26" i="3"/>
  <c r="J26" i="3" s="1"/>
  <c r="H27" i="3"/>
  <c r="J27" i="3" s="1"/>
  <c r="H28" i="3"/>
  <c r="J28" i="3" s="1"/>
  <c r="H29" i="3"/>
  <c r="J29" i="3" s="1"/>
  <c r="H30" i="3"/>
  <c r="J30" i="3" s="1"/>
  <c r="H31" i="3"/>
  <c r="J31" i="3" s="1"/>
  <c r="H32" i="3"/>
  <c r="J32" i="3" s="1"/>
  <c r="H33" i="3"/>
  <c r="J33" i="3" s="1"/>
  <c r="H34" i="3"/>
  <c r="J34" i="3" s="1"/>
  <c r="H35" i="3"/>
  <c r="J35" i="3" s="1"/>
  <c r="H36" i="3"/>
  <c r="J36" i="3" s="1"/>
  <c r="H37" i="3"/>
  <c r="J37" i="3" s="1"/>
  <c r="H38" i="3"/>
  <c r="J38" i="3" s="1"/>
  <c r="H39" i="3"/>
  <c r="J39" i="3" s="1"/>
  <c r="H40" i="3"/>
  <c r="J40" i="3" s="1"/>
  <c r="H41" i="3"/>
  <c r="J41" i="3" s="1"/>
  <c r="H42" i="3"/>
  <c r="J42" i="3" s="1"/>
  <c r="H43" i="3"/>
  <c r="J43" i="3" s="1"/>
  <c r="H44" i="3"/>
  <c r="J44" i="3" s="1"/>
  <c r="H45" i="3"/>
  <c r="J45" i="3" s="1"/>
  <c r="H46" i="3"/>
  <c r="J46" i="3" s="1"/>
  <c r="H47" i="3"/>
  <c r="J47" i="3" s="1"/>
  <c r="H48" i="3"/>
  <c r="J48" i="3" s="1"/>
  <c r="H49" i="3"/>
  <c r="J49" i="3" s="1"/>
  <c r="H50" i="3"/>
  <c r="J50" i="3" s="1"/>
  <c r="H51" i="3"/>
  <c r="J51" i="3" s="1"/>
  <c r="H52" i="3"/>
  <c r="J52" i="3" s="1"/>
  <c r="H53" i="3"/>
  <c r="J53" i="3" s="1"/>
  <c r="H54" i="3"/>
  <c r="J54" i="3" s="1"/>
  <c r="H55" i="3"/>
  <c r="J55" i="3" s="1"/>
  <c r="H56" i="3"/>
  <c r="J56" i="3" s="1"/>
  <c r="H57" i="3"/>
  <c r="J57" i="3" s="1"/>
  <c r="H58" i="3"/>
  <c r="J58" i="3" s="1"/>
  <c r="H59" i="3"/>
  <c r="J59" i="3" s="1"/>
  <c r="H60" i="3"/>
  <c r="J60" i="3" s="1"/>
  <c r="H61" i="3"/>
  <c r="J61" i="3" s="1"/>
  <c r="H62" i="3"/>
  <c r="J62" i="3" s="1"/>
  <c r="H63" i="3"/>
  <c r="J63" i="3" s="1"/>
  <c r="H64" i="3"/>
  <c r="J64" i="3" s="1"/>
  <c r="H65" i="3"/>
  <c r="J65" i="3" s="1"/>
  <c r="H66" i="3"/>
  <c r="J66" i="3" s="1"/>
  <c r="H67" i="3"/>
  <c r="J67" i="3" s="1"/>
  <c r="H68" i="3"/>
  <c r="J68" i="3" s="1"/>
  <c r="H69" i="3"/>
  <c r="J69" i="3" s="1"/>
  <c r="H70" i="3"/>
  <c r="J70" i="3" s="1"/>
  <c r="H71" i="3"/>
  <c r="J71" i="3" s="1"/>
  <c r="H72" i="3"/>
  <c r="J72" i="3" s="1"/>
  <c r="H73" i="3"/>
  <c r="J73" i="3" s="1"/>
  <c r="H74" i="3"/>
  <c r="J74" i="3" s="1"/>
  <c r="H75" i="3"/>
  <c r="J75" i="3" s="1"/>
  <c r="H76" i="3"/>
  <c r="J76" i="3" s="1"/>
  <c r="H77" i="3"/>
  <c r="J77" i="3" s="1"/>
  <c r="H78" i="3"/>
  <c r="J78" i="3" s="1"/>
  <c r="H79" i="3"/>
  <c r="J79" i="3" s="1"/>
  <c r="H80" i="3"/>
  <c r="J80" i="3" s="1"/>
  <c r="H81" i="3"/>
  <c r="J81" i="3" s="1"/>
  <c r="H82" i="3"/>
  <c r="J82" i="3" s="1"/>
  <c r="H83" i="3"/>
  <c r="J83" i="3" s="1"/>
  <c r="H84" i="3"/>
  <c r="J84" i="3" s="1"/>
  <c r="H85" i="3"/>
  <c r="J85" i="3" s="1"/>
  <c r="H86" i="3"/>
  <c r="J86" i="3" s="1"/>
  <c r="H87" i="3"/>
  <c r="J87" i="3" s="1"/>
  <c r="H88" i="3"/>
  <c r="J88" i="3" s="1"/>
  <c r="H89" i="3"/>
  <c r="J89" i="3" s="1"/>
  <c r="H90" i="3"/>
  <c r="J90" i="3" s="1"/>
  <c r="H91" i="3"/>
  <c r="J91" i="3" s="1"/>
  <c r="H92" i="3"/>
  <c r="J92" i="3" s="1"/>
  <c r="H93" i="3"/>
  <c r="J93" i="3" s="1"/>
  <c r="H94" i="3"/>
  <c r="J94" i="3" s="1"/>
  <c r="H95" i="3"/>
  <c r="J95" i="3" s="1"/>
  <c r="H96" i="3"/>
  <c r="J96" i="3" s="1"/>
  <c r="H97" i="3"/>
  <c r="J97" i="3" s="1"/>
  <c r="H98" i="3"/>
  <c r="J98" i="3" s="1"/>
  <c r="H99" i="3"/>
  <c r="J99" i="3" s="1"/>
  <c r="H100" i="3"/>
  <c r="J100" i="3" s="1"/>
  <c r="H101" i="3"/>
  <c r="J101" i="3" s="1"/>
  <c r="H102" i="3"/>
  <c r="J102" i="3" s="1"/>
  <c r="H103" i="3"/>
  <c r="J103" i="3" s="1"/>
  <c r="H104" i="3"/>
  <c r="J104" i="3" s="1"/>
  <c r="H105" i="3"/>
  <c r="J105" i="3" s="1"/>
  <c r="H106" i="3"/>
  <c r="J106" i="3" s="1"/>
  <c r="H107" i="3"/>
  <c r="J107" i="3" s="1"/>
  <c r="H108" i="3"/>
  <c r="J108" i="3" s="1"/>
  <c r="H109" i="3"/>
  <c r="J109" i="3" s="1"/>
  <c r="H110" i="3"/>
  <c r="J110" i="3" s="1"/>
  <c r="H111" i="3"/>
  <c r="J111" i="3" s="1"/>
  <c r="H112" i="3"/>
  <c r="J112" i="3" s="1"/>
  <c r="H113" i="3"/>
  <c r="J113" i="3" s="1"/>
  <c r="H114" i="3"/>
  <c r="J114" i="3" s="1"/>
  <c r="H115" i="3"/>
  <c r="J115" i="3" s="1"/>
  <c r="H116" i="3"/>
  <c r="J116" i="3" s="1"/>
  <c r="H117" i="3"/>
  <c r="J117" i="3" s="1"/>
  <c r="H118" i="3"/>
  <c r="J118" i="3" s="1"/>
  <c r="H119" i="3"/>
  <c r="J119" i="3" s="1"/>
  <c r="H120" i="3"/>
  <c r="J120" i="3" s="1"/>
  <c r="H121" i="3"/>
  <c r="J121" i="3" s="1"/>
  <c r="H122" i="3"/>
  <c r="J122" i="3" s="1"/>
  <c r="H123" i="3"/>
  <c r="J123" i="3" s="1"/>
  <c r="H124" i="3"/>
  <c r="J124" i="3" s="1"/>
  <c r="H125" i="3"/>
  <c r="J125" i="3" s="1"/>
  <c r="H126" i="3"/>
  <c r="J126" i="3" s="1"/>
  <c r="H127" i="3"/>
  <c r="J127" i="3" s="1"/>
  <c r="H128" i="3"/>
  <c r="J128" i="3" s="1"/>
  <c r="H129" i="3"/>
  <c r="J129" i="3" s="1"/>
  <c r="H130" i="3"/>
  <c r="J130" i="3" s="1"/>
  <c r="H131" i="3"/>
  <c r="J131" i="3" s="1"/>
  <c r="H132" i="3"/>
  <c r="J132" i="3" s="1"/>
  <c r="H133" i="3"/>
  <c r="J133" i="3" s="1"/>
  <c r="H134" i="3"/>
  <c r="J134" i="3" s="1"/>
  <c r="H135" i="3"/>
  <c r="J135" i="3" s="1"/>
  <c r="H136" i="3"/>
  <c r="J136" i="3" s="1"/>
  <c r="H137" i="3"/>
  <c r="J137" i="3" s="1"/>
  <c r="H138" i="3"/>
  <c r="J138" i="3" s="1"/>
  <c r="H139" i="3"/>
  <c r="J139" i="3" s="1"/>
  <c r="H140" i="3"/>
  <c r="J140" i="3" s="1"/>
  <c r="H141" i="3"/>
  <c r="J141" i="3" s="1"/>
  <c r="H142" i="3"/>
  <c r="J142" i="3" s="1"/>
  <c r="H143" i="3"/>
  <c r="J143" i="3" s="1"/>
  <c r="H144" i="3"/>
  <c r="J144" i="3" s="1"/>
  <c r="H145" i="3"/>
  <c r="J145" i="3" s="1"/>
  <c r="H146" i="3"/>
  <c r="J146" i="3" s="1"/>
  <c r="H147" i="3"/>
  <c r="J147" i="3" s="1"/>
  <c r="H148" i="3"/>
  <c r="J148" i="3" s="1"/>
  <c r="H149" i="3"/>
  <c r="J149" i="3" s="1"/>
  <c r="H150" i="3"/>
  <c r="J150" i="3" s="1"/>
  <c r="H151" i="3"/>
  <c r="J151" i="3" s="1"/>
  <c r="H152" i="3"/>
  <c r="J152" i="3" s="1"/>
  <c r="H153" i="3"/>
  <c r="J153" i="3" s="1"/>
  <c r="H154" i="3"/>
  <c r="J154" i="3" s="1"/>
  <c r="H155" i="3"/>
  <c r="J155" i="3" s="1"/>
  <c r="H156" i="3"/>
  <c r="J156" i="3" s="1"/>
  <c r="H157" i="3"/>
  <c r="J157" i="3" s="1"/>
  <c r="H158" i="3"/>
  <c r="J158" i="3" s="1"/>
  <c r="H159" i="3"/>
  <c r="J159" i="3" s="1"/>
  <c r="H160" i="3"/>
  <c r="J160" i="3" s="1"/>
  <c r="H161" i="3"/>
  <c r="J161" i="3" s="1"/>
  <c r="H162" i="3"/>
  <c r="J162" i="3" s="1"/>
  <c r="H163" i="3"/>
  <c r="J163" i="3" s="1"/>
  <c r="H164" i="3"/>
  <c r="J164" i="3" s="1"/>
  <c r="H165" i="3"/>
  <c r="J165" i="3" s="1"/>
  <c r="H166" i="3"/>
  <c r="J166" i="3" s="1"/>
  <c r="H167" i="3"/>
  <c r="J167" i="3" s="1"/>
  <c r="H168" i="3"/>
  <c r="J168" i="3" s="1"/>
  <c r="H169" i="3"/>
  <c r="J169" i="3" s="1"/>
  <c r="H170" i="3"/>
  <c r="J170" i="3" s="1"/>
  <c r="H171" i="3"/>
  <c r="J171" i="3" s="1"/>
  <c r="H172" i="3"/>
  <c r="J172" i="3" s="1"/>
  <c r="H173" i="3"/>
  <c r="J173" i="3" s="1"/>
  <c r="H174" i="3"/>
  <c r="J174" i="3" s="1"/>
  <c r="H175" i="3"/>
  <c r="J175" i="3" s="1"/>
  <c r="H176" i="3"/>
  <c r="J176" i="3" s="1"/>
  <c r="H177" i="3"/>
  <c r="J177" i="3" s="1"/>
  <c r="H178" i="3"/>
  <c r="J178" i="3" s="1"/>
  <c r="H179" i="3"/>
  <c r="J179" i="3" s="1"/>
  <c r="H180" i="3"/>
  <c r="J180" i="3" s="1"/>
  <c r="H181" i="3"/>
  <c r="J181" i="3" s="1"/>
  <c r="H182" i="3"/>
  <c r="J182" i="3" s="1"/>
  <c r="H183" i="3"/>
  <c r="J183" i="3" s="1"/>
  <c r="H184" i="3"/>
  <c r="J184" i="3" s="1"/>
  <c r="H185" i="3"/>
  <c r="J185" i="3" s="1"/>
  <c r="H186" i="3"/>
  <c r="J186" i="3" s="1"/>
  <c r="H187" i="3"/>
  <c r="J187" i="3" s="1"/>
  <c r="H188" i="3"/>
  <c r="J188" i="3" s="1"/>
  <c r="H189" i="3"/>
  <c r="J189" i="3" s="1"/>
  <c r="H190" i="3"/>
  <c r="J190" i="3" s="1"/>
  <c r="H191" i="3"/>
  <c r="J191" i="3" s="1"/>
  <c r="H192" i="3"/>
  <c r="J192" i="3" s="1"/>
  <c r="H193" i="3"/>
  <c r="J193" i="3" s="1"/>
  <c r="H194" i="3"/>
  <c r="J194" i="3" s="1"/>
  <c r="H195" i="3"/>
  <c r="J195" i="3" s="1"/>
  <c r="H196" i="3"/>
  <c r="J196" i="3" s="1"/>
  <c r="H197" i="3"/>
  <c r="J197" i="3" s="1"/>
  <c r="H198" i="3"/>
  <c r="J198" i="3" s="1"/>
  <c r="H199" i="3"/>
  <c r="J199" i="3" s="1"/>
  <c r="H200" i="3"/>
  <c r="J200" i="3" s="1"/>
  <c r="H201" i="3"/>
  <c r="J201" i="3" s="1"/>
  <c r="H202" i="3"/>
  <c r="J202" i="3" s="1"/>
  <c r="H203" i="3"/>
  <c r="J203" i="3" s="1"/>
  <c r="H204" i="3"/>
  <c r="J204" i="3" s="1"/>
  <c r="H205" i="3"/>
  <c r="J205" i="3" s="1"/>
  <c r="H206" i="3"/>
  <c r="J206" i="3" s="1"/>
  <c r="H207" i="3"/>
  <c r="J207" i="3" s="1"/>
  <c r="H208" i="3"/>
  <c r="J208" i="3" s="1"/>
  <c r="H209" i="3"/>
  <c r="J209" i="3" s="1"/>
  <c r="H210" i="3"/>
  <c r="J210" i="3" s="1"/>
  <c r="H211" i="3"/>
  <c r="J211" i="3" s="1"/>
  <c r="H212" i="3"/>
  <c r="J212" i="3" s="1"/>
  <c r="H213" i="3"/>
  <c r="J213" i="3" s="1"/>
  <c r="H214" i="3"/>
  <c r="J214" i="3" s="1"/>
  <c r="H215" i="3"/>
  <c r="J215" i="3" s="1"/>
  <c r="H216" i="3"/>
  <c r="J216" i="3" s="1"/>
  <c r="H217" i="3"/>
  <c r="J217" i="3" s="1"/>
  <c r="H218" i="3"/>
  <c r="J218" i="3" s="1"/>
  <c r="H219" i="3"/>
  <c r="J219" i="3" s="1"/>
  <c r="H220" i="3"/>
  <c r="J220" i="3" s="1"/>
  <c r="H221" i="3"/>
  <c r="J221" i="3" s="1"/>
  <c r="H222" i="3"/>
  <c r="J222" i="3" s="1"/>
  <c r="H223" i="3"/>
  <c r="J223" i="3" s="1"/>
  <c r="H224" i="3"/>
  <c r="J224" i="3" s="1"/>
  <c r="H225" i="3"/>
  <c r="J225" i="3" s="1"/>
  <c r="H226" i="3"/>
  <c r="J226" i="3" s="1"/>
  <c r="H227" i="3"/>
  <c r="J227" i="3" s="1"/>
  <c r="H228" i="3"/>
  <c r="J228" i="3" s="1"/>
  <c r="H229" i="3"/>
  <c r="J229" i="3" s="1"/>
  <c r="H230" i="3"/>
  <c r="J230" i="3" s="1"/>
  <c r="H231" i="3"/>
  <c r="J231" i="3" s="1"/>
  <c r="H232" i="3"/>
  <c r="J232" i="3" s="1"/>
  <c r="H233" i="3"/>
  <c r="J233" i="3" s="1"/>
  <c r="H234" i="3"/>
  <c r="J234" i="3" s="1"/>
  <c r="H235" i="3"/>
  <c r="J235" i="3" s="1"/>
  <c r="H236" i="3"/>
  <c r="J236" i="3" s="1"/>
  <c r="H237" i="3"/>
  <c r="J237" i="3" s="1"/>
  <c r="H238" i="3"/>
  <c r="J238" i="3" s="1"/>
  <c r="H239" i="3"/>
  <c r="J239" i="3" s="1"/>
  <c r="H240" i="3"/>
  <c r="J240" i="3" s="1"/>
  <c r="H241" i="3"/>
  <c r="J241" i="3" s="1"/>
  <c r="H242" i="3"/>
  <c r="J242" i="3" s="1"/>
  <c r="H243" i="3"/>
  <c r="J243" i="3" s="1"/>
  <c r="H244" i="3"/>
  <c r="J244" i="3" s="1"/>
  <c r="H245" i="3"/>
  <c r="J245" i="3" s="1"/>
  <c r="H246" i="3"/>
  <c r="J246" i="3" s="1"/>
  <c r="H247" i="3"/>
  <c r="J247" i="3" s="1"/>
  <c r="H248" i="3"/>
  <c r="J248" i="3" s="1"/>
  <c r="H249" i="3"/>
  <c r="J249" i="3" s="1"/>
  <c r="H250" i="3"/>
  <c r="J250" i="3" s="1"/>
  <c r="H251" i="3"/>
  <c r="J251" i="3" s="1"/>
  <c r="H252" i="3"/>
  <c r="J252" i="3" s="1"/>
  <c r="H253" i="3"/>
  <c r="J253" i="3" s="1"/>
  <c r="H254" i="3"/>
  <c r="J254" i="3" s="1"/>
  <c r="H255" i="3"/>
  <c r="J255" i="3" s="1"/>
  <c r="H256" i="3"/>
  <c r="J256" i="3" s="1"/>
  <c r="H257" i="3"/>
  <c r="J257" i="3" s="1"/>
  <c r="H258" i="3"/>
  <c r="J258" i="3" s="1"/>
  <c r="H259" i="3"/>
  <c r="J259" i="3" s="1"/>
  <c r="H260" i="3"/>
  <c r="J260" i="3" s="1"/>
  <c r="H261" i="3"/>
  <c r="J261" i="3" s="1"/>
  <c r="H262" i="3"/>
  <c r="J262" i="3" s="1"/>
  <c r="H263" i="3"/>
  <c r="J263" i="3" s="1"/>
  <c r="H264" i="3"/>
  <c r="J264" i="3" s="1"/>
  <c r="H265" i="3"/>
  <c r="J265" i="3" s="1"/>
  <c r="H266" i="3"/>
  <c r="J266" i="3" s="1"/>
  <c r="H267" i="3"/>
  <c r="J267" i="3" s="1"/>
  <c r="H268" i="3"/>
  <c r="J268" i="3" s="1"/>
  <c r="H269" i="3"/>
  <c r="J269" i="3" s="1"/>
  <c r="H270" i="3"/>
  <c r="J270" i="3" s="1"/>
  <c r="H271" i="3"/>
  <c r="J271" i="3" s="1"/>
  <c r="H272" i="3"/>
  <c r="J272" i="3" s="1"/>
  <c r="H273" i="3"/>
  <c r="J273" i="3" s="1"/>
  <c r="H274" i="3"/>
  <c r="J274" i="3" s="1"/>
  <c r="H275" i="3"/>
  <c r="J275" i="3" s="1"/>
  <c r="H276" i="3"/>
  <c r="J276" i="3" s="1"/>
  <c r="H277" i="3"/>
  <c r="J277" i="3" s="1"/>
  <c r="H278" i="3"/>
  <c r="J278" i="3" s="1"/>
  <c r="H279" i="3"/>
  <c r="J279" i="3" s="1"/>
  <c r="H280" i="3"/>
  <c r="J280" i="3" s="1"/>
  <c r="H281" i="3"/>
  <c r="J281" i="3" s="1"/>
  <c r="H282" i="3"/>
  <c r="J282" i="3" s="1"/>
  <c r="H283" i="3"/>
  <c r="J283" i="3" s="1"/>
  <c r="H284" i="3"/>
  <c r="J284" i="3" s="1"/>
  <c r="H285" i="3"/>
  <c r="J285" i="3" s="1"/>
  <c r="H286" i="3"/>
  <c r="J286" i="3" s="1"/>
  <c r="H287" i="3"/>
  <c r="J287" i="3" s="1"/>
  <c r="H288" i="3"/>
  <c r="J288" i="3" s="1"/>
  <c r="H289" i="3"/>
  <c r="J289" i="3" s="1"/>
  <c r="H290" i="3"/>
  <c r="J290" i="3" s="1"/>
  <c r="H291" i="3"/>
  <c r="J291" i="3" s="1"/>
  <c r="H292" i="3"/>
  <c r="J292" i="3" s="1"/>
  <c r="H293" i="3"/>
  <c r="J293" i="3" s="1"/>
  <c r="H294" i="3"/>
  <c r="J294" i="3" s="1"/>
  <c r="H295" i="3"/>
  <c r="J295" i="3" s="1"/>
  <c r="H296" i="3"/>
  <c r="J296" i="3" s="1"/>
  <c r="H297" i="3"/>
  <c r="J297" i="3" s="1"/>
  <c r="H298" i="3"/>
  <c r="J298" i="3" s="1"/>
  <c r="H299" i="3"/>
  <c r="J299" i="3" s="1"/>
  <c r="H300" i="3"/>
  <c r="J300" i="3" s="1"/>
  <c r="H301" i="3"/>
  <c r="J301" i="3" s="1"/>
  <c r="H302" i="3"/>
  <c r="J302" i="3" s="1"/>
  <c r="H303" i="3"/>
  <c r="J303" i="3" s="1"/>
  <c r="H304" i="3"/>
  <c r="J304" i="3" s="1"/>
  <c r="H305" i="3"/>
  <c r="J305" i="3" s="1"/>
  <c r="H306" i="3"/>
  <c r="J306" i="3" s="1"/>
  <c r="H307" i="3"/>
  <c r="J307" i="3" s="1"/>
  <c r="H308" i="3"/>
  <c r="J308" i="3" s="1"/>
  <c r="H309" i="3"/>
  <c r="J309" i="3" s="1"/>
  <c r="H310" i="3"/>
  <c r="J310" i="3" s="1"/>
  <c r="H311" i="3"/>
  <c r="J311" i="3" s="1"/>
  <c r="H312" i="3"/>
  <c r="J312" i="3" s="1"/>
  <c r="H313" i="3"/>
  <c r="J313" i="3" s="1"/>
  <c r="H314" i="3"/>
  <c r="J314" i="3" s="1"/>
  <c r="H315" i="3"/>
  <c r="J315" i="3" s="1"/>
  <c r="H316" i="3"/>
  <c r="J316" i="3" s="1"/>
  <c r="H317" i="3"/>
  <c r="J317" i="3" s="1"/>
  <c r="H318" i="3"/>
  <c r="J318" i="3" s="1"/>
  <c r="H319" i="3"/>
  <c r="J319" i="3" s="1"/>
  <c r="H320" i="3"/>
  <c r="J320" i="3" s="1"/>
  <c r="H321" i="3"/>
  <c r="J321" i="3" s="1"/>
  <c r="H322" i="3"/>
  <c r="J322" i="3" s="1"/>
  <c r="H323" i="3"/>
  <c r="J323" i="3" s="1"/>
  <c r="H324" i="3"/>
  <c r="J324" i="3" s="1"/>
  <c r="H325" i="3"/>
  <c r="J325" i="3" s="1"/>
  <c r="H326" i="3"/>
  <c r="J326" i="3" s="1"/>
  <c r="H327" i="3"/>
  <c r="J327" i="3" s="1"/>
  <c r="H328" i="3"/>
  <c r="J328" i="3" s="1"/>
  <c r="H329" i="3"/>
  <c r="J329" i="3" s="1"/>
  <c r="H330" i="3"/>
  <c r="J330" i="3" s="1"/>
  <c r="H331" i="3"/>
  <c r="J331" i="3" s="1"/>
  <c r="H332" i="3"/>
  <c r="J332" i="3" s="1"/>
  <c r="H333" i="3"/>
  <c r="J333" i="3" s="1"/>
  <c r="H334" i="3"/>
  <c r="J334" i="3" s="1"/>
  <c r="H335" i="3"/>
  <c r="J335" i="3" s="1"/>
  <c r="H336" i="3"/>
  <c r="J336" i="3" s="1"/>
  <c r="H337" i="3"/>
  <c r="J337" i="3" s="1"/>
  <c r="H338" i="3"/>
  <c r="J338" i="3" s="1"/>
  <c r="H339" i="3"/>
  <c r="J339" i="3" s="1"/>
  <c r="H340" i="3"/>
  <c r="J340" i="3" s="1"/>
  <c r="H341" i="3"/>
  <c r="J341" i="3" s="1"/>
  <c r="H342" i="3"/>
  <c r="J342" i="3" s="1"/>
  <c r="H343" i="3"/>
  <c r="J343" i="3" s="1"/>
  <c r="H344" i="3"/>
  <c r="J344" i="3" s="1"/>
  <c r="H345" i="3"/>
  <c r="J345" i="3" s="1"/>
  <c r="H346" i="3"/>
  <c r="J346" i="3" s="1"/>
  <c r="H347" i="3"/>
  <c r="J347" i="3" s="1"/>
  <c r="H348" i="3"/>
  <c r="J348" i="3" s="1"/>
  <c r="H349" i="3"/>
  <c r="J349" i="3" s="1"/>
  <c r="H350" i="3"/>
  <c r="J350" i="3" s="1"/>
  <c r="H351" i="3"/>
  <c r="J351" i="3" s="1"/>
  <c r="H352" i="3"/>
  <c r="J352" i="3" s="1"/>
  <c r="H353" i="3"/>
  <c r="J353" i="3" s="1"/>
  <c r="H354" i="3"/>
  <c r="J354" i="3" s="1"/>
  <c r="H355" i="3"/>
  <c r="J355" i="3" s="1"/>
  <c r="H356" i="3"/>
  <c r="J356" i="3" s="1"/>
  <c r="H357" i="3"/>
  <c r="J357" i="3" s="1"/>
  <c r="H358" i="3"/>
  <c r="J358" i="3" s="1"/>
  <c r="H359" i="3"/>
  <c r="J359" i="3" s="1"/>
  <c r="H360" i="3"/>
  <c r="J360" i="3" s="1"/>
  <c r="H361" i="3"/>
  <c r="J361" i="3" s="1"/>
  <c r="H362" i="3"/>
  <c r="J362" i="3" s="1"/>
  <c r="H363" i="3"/>
  <c r="J363" i="3" s="1"/>
  <c r="H364" i="3"/>
  <c r="J364" i="3" s="1"/>
  <c r="H365" i="3"/>
  <c r="J365" i="3" s="1"/>
  <c r="H366" i="3"/>
  <c r="J366" i="3" s="1"/>
  <c r="H367" i="3"/>
  <c r="J367" i="3" s="1"/>
  <c r="H368" i="3"/>
  <c r="J368" i="3" s="1"/>
  <c r="H369" i="3"/>
  <c r="J369" i="3" s="1"/>
  <c r="H370" i="3"/>
  <c r="J370" i="3" s="1"/>
  <c r="H371" i="3"/>
  <c r="J371" i="3" s="1"/>
  <c r="H372" i="3"/>
  <c r="J372" i="3" s="1"/>
  <c r="H373" i="3"/>
  <c r="J373" i="3" s="1"/>
  <c r="H374" i="3"/>
  <c r="J374" i="3" s="1"/>
  <c r="H375" i="3"/>
  <c r="J375" i="3" s="1"/>
  <c r="H376" i="3"/>
  <c r="J376" i="3" s="1"/>
  <c r="H377" i="3"/>
  <c r="J377" i="3" s="1"/>
  <c r="H378" i="3"/>
  <c r="J378" i="3" s="1"/>
  <c r="H379" i="3"/>
  <c r="J379" i="3" s="1"/>
  <c r="H380" i="3"/>
  <c r="J380" i="3" s="1"/>
  <c r="H381" i="3"/>
  <c r="J381" i="3" s="1"/>
  <c r="H382" i="3"/>
  <c r="J382" i="3" s="1"/>
  <c r="H383" i="3"/>
  <c r="J383" i="3" s="1"/>
  <c r="H384" i="3"/>
  <c r="J384" i="3" s="1"/>
  <c r="H385" i="3"/>
  <c r="J385" i="3" s="1"/>
  <c r="H386" i="3"/>
  <c r="J386" i="3" s="1"/>
  <c r="H387" i="3"/>
  <c r="J387" i="3" s="1"/>
  <c r="H388" i="3"/>
  <c r="J388" i="3" s="1"/>
  <c r="H389" i="3"/>
  <c r="J389" i="3" s="1"/>
  <c r="H390" i="3"/>
  <c r="J390" i="3" s="1"/>
  <c r="H391" i="3"/>
  <c r="J391" i="3" s="1"/>
  <c r="H392" i="3"/>
  <c r="J392" i="3" s="1"/>
  <c r="H393" i="3"/>
  <c r="J393" i="3" s="1"/>
  <c r="H394" i="3"/>
  <c r="J394" i="3" s="1"/>
  <c r="H395" i="3"/>
  <c r="J395" i="3" s="1"/>
  <c r="H396" i="3"/>
  <c r="J396" i="3" s="1"/>
  <c r="H397" i="3"/>
  <c r="J397" i="3" s="1"/>
  <c r="H398" i="3"/>
  <c r="J398" i="3" s="1"/>
  <c r="H399" i="3"/>
  <c r="J399" i="3" s="1"/>
  <c r="H400" i="3"/>
  <c r="J400" i="3" s="1"/>
  <c r="H401" i="3"/>
  <c r="J401" i="3" s="1"/>
  <c r="H402" i="3"/>
  <c r="J402" i="3" s="1"/>
  <c r="H403" i="3"/>
  <c r="J403" i="3" s="1"/>
  <c r="H404" i="3"/>
  <c r="J404" i="3" s="1"/>
  <c r="H405" i="3"/>
  <c r="J405" i="3" s="1"/>
  <c r="H406" i="3"/>
  <c r="J406" i="3" s="1"/>
  <c r="H407" i="3"/>
  <c r="J407" i="3" s="1"/>
  <c r="H408" i="3"/>
  <c r="J408" i="3" s="1"/>
  <c r="H409" i="3"/>
  <c r="J409" i="3" s="1"/>
  <c r="H410" i="3"/>
  <c r="J410" i="3" s="1"/>
  <c r="H411" i="3"/>
  <c r="J411" i="3" s="1"/>
  <c r="H412" i="3"/>
  <c r="J412" i="3" s="1"/>
  <c r="H413" i="3"/>
  <c r="J413" i="3" s="1"/>
  <c r="H414" i="3"/>
  <c r="J414" i="3" s="1"/>
  <c r="H415" i="3"/>
  <c r="J415" i="3" s="1"/>
  <c r="H416" i="3"/>
  <c r="J416" i="3" s="1"/>
  <c r="H417" i="3"/>
  <c r="J417" i="3" s="1"/>
  <c r="H418" i="3"/>
  <c r="J418" i="3" s="1"/>
  <c r="H419" i="3"/>
  <c r="J419" i="3" s="1"/>
  <c r="H420" i="3"/>
  <c r="J420" i="3" s="1"/>
  <c r="H421" i="3"/>
  <c r="J421" i="3" s="1"/>
  <c r="H422" i="3"/>
  <c r="J422" i="3" s="1"/>
  <c r="H423" i="3"/>
  <c r="J423" i="3" s="1"/>
  <c r="H424" i="3"/>
  <c r="J424" i="3" s="1"/>
  <c r="H425" i="3"/>
  <c r="J425" i="3" s="1"/>
  <c r="H426" i="3"/>
  <c r="J426" i="3" s="1"/>
  <c r="H427" i="3"/>
  <c r="J427" i="3" s="1"/>
  <c r="H428" i="3"/>
  <c r="J428" i="3" s="1"/>
  <c r="H429" i="3"/>
  <c r="J429" i="3" s="1"/>
  <c r="H430" i="3"/>
  <c r="J430" i="3" s="1"/>
  <c r="H431" i="3"/>
  <c r="J431" i="3" s="1"/>
  <c r="H432" i="3"/>
  <c r="J432" i="3" s="1"/>
  <c r="H433" i="3"/>
  <c r="J433" i="3" s="1"/>
  <c r="H434" i="3"/>
  <c r="J434" i="3" s="1"/>
  <c r="H435" i="3"/>
  <c r="J435" i="3" s="1"/>
  <c r="H436" i="3"/>
  <c r="J436" i="3" s="1"/>
  <c r="H437" i="3"/>
  <c r="J437" i="3" s="1"/>
  <c r="H438" i="3"/>
  <c r="J438" i="3" s="1"/>
  <c r="H439" i="3"/>
  <c r="J439" i="3" s="1"/>
  <c r="H440" i="3"/>
  <c r="J440" i="3" s="1"/>
  <c r="H441" i="3"/>
  <c r="J441" i="3" s="1"/>
  <c r="H442" i="3"/>
  <c r="J442" i="3" s="1"/>
  <c r="H443" i="3"/>
  <c r="J443" i="3" s="1"/>
  <c r="H444" i="3"/>
  <c r="J444" i="3" s="1"/>
  <c r="H445" i="3"/>
  <c r="J445" i="3" s="1"/>
  <c r="H446" i="3"/>
  <c r="J446" i="3" s="1"/>
  <c r="H447" i="3"/>
  <c r="J447" i="3" s="1"/>
  <c r="H448" i="3"/>
  <c r="J448" i="3" s="1"/>
  <c r="H449" i="3"/>
  <c r="J449" i="3" s="1"/>
  <c r="H450" i="3"/>
  <c r="J450" i="3" s="1"/>
  <c r="H451" i="3"/>
  <c r="J451" i="3" s="1"/>
  <c r="H452" i="3"/>
  <c r="J452" i="3" s="1"/>
  <c r="H453" i="3"/>
  <c r="J453" i="3" s="1"/>
  <c r="H454" i="3"/>
  <c r="J454" i="3" s="1"/>
  <c r="H455" i="3"/>
  <c r="J455" i="3" s="1"/>
  <c r="H456" i="3"/>
  <c r="J456" i="3" s="1"/>
  <c r="H457" i="3"/>
  <c r="J457" i="3" s="1"/>
  <c r="H458" i="3"/>
  <c r="J458" i="3" s="1"/>
  <c r="H459" i="3"/>
  <c r="J459" i="3" s="1"/>
  <c r="H460" i="3"/>
  <c r="J460" i="3" s="1"/>
  <c r="H461" i="3"/>
  <c r="J461" i="3" s="1"/>
  <c r="H462" i="3"/>
  <c r="J462" i="3" s="1"/>
  <c r="H463" i="3"/>
  <c r="J463" i="3" s="1"/>
  <c r="H464" i="3"/>
  <c r="J464" i="3" s="1"/>
  <c r="H465" i="3"/>
  <c r="J465" i="3" s="1"/>
  <c r="H466" i="3"/>
  <c r="J466" i="3" s="1"/>
  <c r="H467" i="3"/>
  <c r="J467" i="3" s="1"/>
  <c r="H468" i="3"/>
  <c r="J468" i="3" s="1"/>
  <c r="H469" i="3"/>
  <c r="J469" i="3" s="1"/>
  <c r="H470" i="3"/>
  <c r="J470" i="3" s="1"/>
  <c r="H471" i="3"/>
  <c r="J471" i="3" s="1"/>
  <c r="H472" i="3"/>
  <c r="J472" i="3" s="1"/>
  <c r="H473" i="3"/>
  <c r="J473" i="3" s="1"/>
  <c r="H474" i="3"/>
  <c r="J474" i="3" s="1"/>
  <c r="H475" i="3"/>
  <c r="J475" i="3" s="1"/>
  <c r="H476" i="3"/>
  <c r="J476" i="3" s="1"/>
  <c r="H477" i="3"/>
  <c r="J477" i="3" s="1"/>
  <c r="H478" i="3"/>
  <c r="J478" i="3" s="1"/>
  <c r="H479" i="3"/>
  <c r="J479" i="3" s="1"/>
  <c r="H480" i="3"/>
  <c r="J480" i="3" s="1"/>
  <c r="H481" i="3"/>
  <c r="J481" i="3" s="1"/>
  <c r="H482" i="3"/>
  <c r="J482" i="3" s="1"/>
  <c r="H483" i="3"/>
  <c r="J483" i="3" s="1"/>
  <c r="H484" i="3"/>
  <c r="J484" i="3" s="1"/>
  <c r="H485" i="3"/>
  <c r="J485" i="3" s="1"/>
  <c r="H486" i="3"/>
  <c r="J486" i="3" s="1"/>
  <c r="H487" i="3"/>
  <c r="J487" i="3" s="1"/>
  <c r="H488" i="3"/>
  <c r="J488" i="3" s="1"/>
  <c r="H489" i="3"/>
  <c r="J489" i="3" s="1"/>
  <c r="H490" i="3"/>
  <c r="J490" i="3" s="1"/>
  <c r="H491" i="3"/>
  <c r="J491" i="3" s="1"/>
  <c r="H492" i="3"/>
  <c r="J492" i="3" s="1"/>
  <c r="H493" i="3"/>
  <c r="J493" i="3" s="1"/>
  <c r="H494" i="3"/>
  <c r="J494" i="3" s="1"/>
  <c r="H495" i="3"/>
  <c r="J495" i="3" s="1"/>
  <c r="H496" i="3"/>
  <c r="J496" i="3" s="1"/>
  <c r="H497" i="3"/>
  <c r="J497" i="3" s="1"/>
  <c r="H498" i="3"/>
  <c r="J498" i="3" s="1"/>
  <c r="H499" i="3"/>
  <c r="J499" i="3" s="1"/>
  <c r="H500" i="3"/>
  <c r="J500" i="3" s="1"/>
  <c r="H501" i="3"/>
  <c r="J501" i="3" s="1"/>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2" i="3"/>
  <c r="G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2" i="3"/>
  <c r="F3" i="3"/>
</calcChain>
</file>

<file path=xl/sharedStrings.xml><?xml version="1.0" encoding="utf-8"?>
<sst xmlns="http://schemas.openxmlformats.org/spreadsheetml/2006/main" count="1893" uniqueCount="464">
  <si>
    <t>Customer ID</t>
  </si>
  <si>
    <t>Customer Name</t>
  </si>
  <si>
    <t>City</t>
  </si>
  <si>
    <t>C101</t>
  </si>
  <si>
    <t>Amit Verma</t>
  </si>
  <si>
    <t>Lucknow</t>
  </si>
  <si>
    <t>C102</t>
  </si>
  <si>
    <t>Priya Kapoor</t>
  </si>
  <si>
    <t>Pune</t>
  </si>
  <si>
    <t>C103</t>
  </si>
  <si>
    <t>Jaipur</t>
  </si>
  <si>
    <t>C104</t>
  </si>
  <si>
    <t>Sneha Iyer</t>
  </si>
  <si>
    <t>Chennai</t>
  </si>
  <si>
    <t>C105</t>
  </si>
  <si>
    <t>Pooja Jain</t>
  </si>
  <si>
    <t>C106</t>
  </si>
  <si>
    <t>Rahul Sharma</t>
  </si>
  <si>
    <t>Hyderabad</t>
  </si>
  <si>
    <t>C107</t>
  </si>
  <si>
    <t>C108</t>
  </si>
  <si>
    <t>Komal Gupta</t>
  </si>
  <si>
    <t>Bangalore</t>
  </si>
  <si>
    <t>C109</t>
  </si>
  <si>
    <t>Tanya Sethi</t>
  </si>
  <si>
    <t>Kolkata</t>
  </si>
  <si>
    <t>C110</t>
  </si>
  <si>
    <t>Arjun Malhotra</t>
  </si>
  <si>
    <t>Ahmedabad</t>
  </si>
  <si>
    <t>C111</t>
  </si>
  <si>
    <t>Sejal Shah</t>
  </si>
  <si>
    <t>C112</t>
  </si>
  <si>
    <t>Karan Mehta</t>
  </si>
  <si>
    <t>C113</t>
  </si>
  <si>
    <t>C114</t>
  </si>
  <si>
    <t>Manav Arora</t>
  </si>
  <si>
    <t>C115</t>
  </si>
  <si>
    <t>Delhi</t>
  </si>
  <si>
    <t>C116</t>
  </si>
  <si>
    <t>C117</t>
  </si>
  <si>
    <t>C118</t>
  </si>
  <si>
    <t>Neha Singh</t>
  </si>
  <si>
    <t>C119</t>
  </si>
  <si>
    <t>Ankit Roy</t>
  </si>
  <si>
    <t>C120</t>
  </si>
  <si>
    <t>Nitin Joshi</t>
  </si>
  <si>
    <t>C121</t>
  </si>
  <si>
    <t>C122</t>
  </si>
  <si>
    <t>Mumbai</t>
  </si>
  <si>
    <t>C123</t>
  </si>
  <si>
    <t>Ravi Patel</t>
  </si>
  <si>
    <t>C124</t>
  </si>
  <si>
    <t>C125</t>
  </si>
  <si>
    <t>C126</t>
  </si>
  <si>
    <t>C127</t>
  </si>
  <si>
    <t>C128</t>
  </si>
  <si>
    <t>C129</t>
  </si>
  <si>
    <t>C130</t>
  </si>
  <si>
    <t>C131</t>
  </si>
  <si>
    <t>Rohit Sen</t>
  </si>
  <si>
    <t>C132</t>
  </si>
  <si>
    <t>C133</t>
  </si>
  <si>
    <t>C134</t>
  </si>
  <si>
    <t>C135</t>
  </si>
  <si>
    <t>Vikas Nair</t>
  </si>
  <si>
    <t>C136</t>
  </si>
  <si>
    <t>C137</t>
  </si>
  <si>
    <t>C138</t>
  </si>
  <si>
    <t>C139</t>
  </si>
  <si>
    <t>C140</t>
  </si>
  <si>
    <t>C141</t>
  </si>
  <si>
    <t>C142</t>
  </si>
  <si>
    <t>C143</t>
  </si>
  <si>
    <t>C144</t>
  </si>
  <si>
    <t>C145</t>
  </si>
  <si>
    <t>C146</t>
  </si>
  <si>
    <t>C147</t>
  </si>
  <si>
    <t>Riya Das</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</si>
  <si>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</si>
  <si>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</si>
  <si>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</si>
  <si>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</si>
  <si>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</si>
  <si>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</si>
  <si>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</si>
  <si>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</si>
  <si>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</si>
  <si>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</si>
  <si>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</si>
  <si>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</si>
  <si>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</si>
  <si>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</si>
  <si>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</si>
  <si>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</si>
  <si>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</si>
  <si>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</si>
  <si>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</si>
  <si>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</si>
  <si>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</si>
  <si>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</si>
  <si>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</si>
  <si>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</si>
  <si>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</si>
  <si>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</si>
  <si>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</si>
  <si>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</si>
  <si>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Meera Kulkarni</t>
  </si>
  <si>
    <t>C176</t>
  </si>
  <si>
    <t>C177</t>
  </si>
  <si>
    <t>C178</t>
  </si>
  <si>
    <t>C179</t>
  </si>
  <si>
    <t>C180</t>
  </si>
  <si>
    <t>C181</t>
  </si>
  <si>
    <t>C182</t>
  </si>
  <si>
    <t>C183</t>
  </si>
  <si>
    <t>Ishita Bose</t>
  </si>
  <si>
    <t>C184</t>
  </si>
  <si>
    <t>C185</t>
  </si>
  <si>
    <t>C186</t>
  </si>
  <si>
    <t>C187</t>
  </si>
  <si>
    <t>C188</t>
  </si>
  <si>
    <t>C189</t>
  </si>
  <si>
    <t>C190</t>
  </si>
  <si>
    <t>C191</t>
  </si>
  <si>
    <t>C192</t>
  </si>
  <si>
    <t>C193</t>
  </si>
  <si>
    <t>C194</t>
  </si>
  <si>
    <t>C195</t>
  </si>
  <si>
    <t>C196</t>
  </si>
  <si>
    <t>C197</t>
  </si>
  <si>
    <t>C198</t>
  </si>
  <si>
    <t>C199</t>
  </si>
  <si>
    <t>C200</t>
  </si>
  <si>
    <t>Product ID</t>
  </si>
  <si>
    <t>Product Name</t>
  </si>
  <si>
    <t>Category</t>
  </si>
  <si>
    <t>Price</t>
  </si>
  <si>
    <t>P201</t>
  </si>
  <si>
    <t>Laptop</t>
  </si>
  <si>
    <t>Electronics</t>
  </si>
  <si>
    <t>P202</t>
  </si>
  <si>
    <t>Mobile</t>
  </si>
  <si>
    <t>P203</t>
  </si>
  <si>
    <t>Tablet</t>
  </si>
  <si>
    <t>P204</t>
  </si>
  <si>
    <t>Chair</t>
  </si>
  <si>
    <t>Furniture</t>
  </si>
  <si>
    <t>P205</t>
  </si>
  <si>
    <t>Table</t>
  </si>
  <si>
    <t>P206</t>
  </si>
  <si>
    <t>Sofa</t>
  </si>
  <si>
    <t>P207</t>
  </si>
  <si>
    <t>T-Shirt</t>
  </si>
  <si>
    <t>Clothing</t>
  </si>
  <si>
    <t>P208</t>
  </si>
  <si>
    <t>Jeans</t>
  </si>
  <si>
    <t>P209</t>
  </si>
  <si>
    <t>Shirt</t>
  </si>
  <si>
    <t>P210</t>
  </si>
  <si>
    <t>Shoes</t>
  </si>
  <si>
    <t>Order ID</t>
  </si>
  <si>
    <t>Date</t>
  </si>
  <si>
    <t>Quantity</t>
  </si>
  <si>
    <t>12-Nov-2024</t>
  </si>
  <si>
    <t>05-Jan-2024</t>
  </si>
  <si>
    <t>19-Dec-2024</t>
  </si>
  <si>
    <t>29-May-2024</t>
  </si>
  <si>
    <t>19-Mar-2024</t>
  </si>
  <si>
    <t>30-Apr-2024</t>
  </si>
  <si>
    <t>23-Jan-2024</t>
  </si>
  <si>
    <t>29-Jul-2024</t>
  </si>
  <si>
    <t>18-May-2024</t>
  </si>
  <si>
    <t>14-Aug-2024</t>
  </si>
  <si>
    <t>24-Nov-2024</t>
  </si>
  <si>
    <t>27-Jun-2024</t>
  </si>
  <si>
    <t>15-Sep-2024</t>
  </si>
  <si>
    <t>04-May-2024</t>
  </si>
  <si>
    <t>28-Dec-2024</t>
  </si>
  <si>
    <t>10-Jul-2024</t>
  </si>
  <si>
    <t>03-Jun-2024</t>
  </si>
  <si>
    <t>28-Sep-2024</t>
  </si>
  <si>
    <t>05-Apr-2024</t>
  </si>
  <si>
    <t>30-Nov-2024</t>
  </si>
  <si>
    <t>05-Nov-2024</t>
  </si>
  <si>
    <t>21-Aug-2024</t>
  </si>
  <si>
    <t>06-Apr-2024</t>
  </si>
  <si>
    <t>25-Jan-2024</t>
  </si>
  <si>
    <t>16-Feb-2024</t>
  </si>
  <si>
    <t>26-Dec-2024</t>
  </si>
  <si>
    <t>24-Oct-2024</t>
  </si>
  <si>
    <t>21-Jun-2024</t>
  </si>
  <si>
    <t>28-Jan-2024</t>
  </si>
  <si>
    <t>14-Apr-2024</t>
  </si>
  <si>
    <t>21-Apr-2024</t>
  </si>
  <si>
    <t>27-May-2024</t>
  </si>
  <si>
    <t>07-Mar-2024</t>
  </si>
  <si>
    <t>28-Jun-2024</t>
  </si>
  <si>
    <t>25-Sep-2024</t>
  </si>
  <si>
    <t>25-Mar-2024</t>
  </si>
  <si>
    <t>01-Feb-2024</t>
  </si>
  <si>
    <t>31-Mar-2024</t>
  </si>
  <si>
    <t>31-Jul-2024</t>
  </si>
  <si>
    <t>06-Jul-2024</t>
  </si>
  <si>
    <t>07-Jun-2024</t>
  </si>
  <si>
    <t>08-Nov-2024</t>
  </si>
  <si>
    <t>16-Aug-2024</t>
  </si>
  <si>
    <t>29-Jun-2024</t>
  </si>
  <si>
    <t>04-Jul-2024</t>
  </si>
  <si>
    <t>24-Jun-2024</t>
  </si>
  <si>
    <t>03-Mar-2024</t>
  </si>
  <si>
    <t>10-Mar-2024</t>
  </si>
  <si>
    <t>16-Jul-2024</t>
  </si>
  <si>
    <t>05-Jul-2024</t>
  </si>
  <si>
    <t>07-Oct-2024</t>
  </si>
  <si>
    <t>01-Apr-2024</t>
  </si>
  <si>
    <t>09-Dec-2024</t>
  </si>
  <si>
    <t>28-Feb-2024</t>
  </si>
  <si>
    <t>11-Apr-2024</t>
  </si>
  <si>
    <t>24-Mar-2024</t>
  </si>
  <si>
    <t>16-Dec-2024</t>
  </si>
  <si>
    <t>13-Oct-2024</t>
  </si>
  <si>
    <t>07-Apr-2024</t>
  </si>
  <si>
    <t>05-Mar-2024</t>
  </si>
  <si>
    <t>04-Apr-2024</t>
  </si>
  <si>
    <t>22-Mar-2024</t>
  </si>
  <si>
    <t>04-Jan-2024</t>
  </si>
  <si>
    <t>02-Jun-2024</t>
  </si>
  <si>
    <t>18-Jan-2024</t>
  </si>
  <si>
    <t>23-Mar-2024</t>
  </si>
  <si>
    <t>06-Aug-2024</t>
  </si>
  <si>
    <t>18-Nov-2024</t>
  </si>
  <si>
    <t>25-Apr-2024</t>
  </si>
  <si>
    <t>14-Jan-2024</t>
  </si>
  <si>
    <t>21-May-2024</t>
  </si>
  <si>
    <t>15-Nov-2024</t>
  </si>
  <si>
    <t>26-Jan-2024</t>
  </si>
  <si>
    <t>27-Oct-2024</t>
  </si>
  <si>
    <t>03-Apr-2024</t>
  </si>
  <si>
    <t>21-Oct-2024</t>
  </si>
  <si>
    <t>24-Dec-2024</t>
  </si>
  <si>
    <t>04-Oct-2024</t>
  </si>
  <si>
    <t>31-Jan-2024</t>
  </si>
  <si>
    <t>29-Jan-2024</t>
  </si>
  <si>
    <t>17-Jul-2024</t>
  </si>
  <si>
    <t>14-Nov-2024</t>
  </si>
  <si>
    <t>23-Oct-2024</t>
  </si>
  <si>
    <t>20-May-2024</t>
  </si>
  <si>
    <t>02-Mar-2024</t>
  </si>
  <si>
    <t>25-Dec-2024</t>
  </si>
  <si>
    <t>08-Jan-2024</t>
  </si>
  <si>
    <t>02-Oct-2024</t>
  </si>
  <si>
    <t>31-May-2024</t>
  </si>
  <si>
    <t>21-Sep-2024</t>
  </si>
  <si>
    <t>17-Jan-2024</t>
  </si>
  <si>
    <t>30-Jul-2024</t>
  </si>
  <si>
    <t>04-Sep-2024</t>
  </si>
  <si>
    <t>03-Feb-2024</t>
  </si>
  <si>
    <t>21-Jul-2024</t>
  </si>
  <si>
    <t>09-Jul-2024</t>
  </si>
  <si>
    <t>18-Jul-2024</t>
  </si>
  <si>
    <t>12-Mar-2024</t>
  </si>
  <si>
    <t>28-Jul-2024</t>
  </si>
  <si>
    <t>23-Jun-2024</t>
  </si>
  <si>
    <t>25-Jun-2024</t>
  </si>
  <si>
    <t>12-May-2024</t>
  </si>
  <si>
    <t>20-Sep-2024</t>
  </si>
  <si>
    <t>10-Nov-2024</t>
  </si>
  <si>
    <t>03-Dec-2024</t>
  </si>
  <si>
    <t>23-Feb-2024</t>
  </si>
  <si>
    <t>23-Aug-2024</t>
  </si>
  <si>
    <t>30-Jun-2024</t>
  </si>
  <si>
    <t>13-Feb-2024</t>
  </si>
  <si>
    <t>24-Jan-2024</t>
  </si>
  <si>
    <t>18-Aug-2024</t>
  </si>
  <si>
    <t>29-Sep-2024</t>
  </si>
  <si>
    <t>18-Sep-2024</t>
  </si>
  <si>
    <t>04-Jun-2024</t>
  </si>
  <si>
    <t>03-Jul-2024</t>
  </si>
  <si>
    <t>01-Nov-2024</t>
  </si>
  <si>
    <t>30-Jan-2024</t>
  </si>
  <si>
    <t>20-Jan-2024</t>
  </si>
  <si>
    <t>02-May-2024</t>
  </si>
  <si>
    <t>02-Jan-2024</t>
  </si>
  <si>
    <t>19-Aug-2024</t>
  </si>
  <si>
    <t>07-Sep-2024</t>
  </si>
  <si>
    <t>02-Aug-2024</t>
  </si>
  <si>
    <t>02-Nov-2024</t>
  </si>
  <si>
    <t>09-Mar-2024</t>
  </si>
  <si>
    <t>13-Jul-2024</t>
  </si>
  <si>
    <t>16-Nov-2024</t>
  </si>
  <si>
    <t>23-Jul-2024</t>
  </si>
  <si>
    <t>21-Dec-2024</t>
  </si>
  <si>
    <t>01-Oct-2024</t>
  </si>
  <si>
    <t>12-Jun-2024</t>
  </si>
  <si>
    <t>01-Jan-2024</t>
  </si>
  <si>
    <t>22-Jan-2024</t>
  </si>
  <si>
    <t>21-Jan-2024</t>
  </si>
  <si>
    <t>26-Apr-2024</t>
  </si>
  <si>
    <t>07-Feb-2024</t>
  </si>
  <si>
    <t>10-Apr-2024</t>
  </si>
  <si>
    <t>11-Jul-2024</t>
  </si>
  <si>
    <t>26-Oct-2024</t>
  </si>
  <si>
    <t>03-May-2024</t>
  </si>
  <si>
    <t>17-Jun-2024</t>
  </si>
  <si>
    <t>09-May-2024</t>
  </si>
  <si>
    <t>18-Feb-2024</t>
  </si>
  <si>
    <t>11-Jun-2024</t>
  </si>
  <si>
    <t>31-Oct-2024</t>
  </si>
  <si>
    <t>01-Jul-2024</t>
  </si>
  <si>
    <t>12-Jul-2024</t>
  </si>
  <si>
    <t>26-Jul-2024</t>
  </si>
  <si>
    <t>24-Jul-2024</t>
  </si>
  <si>
    <t>26-May-2024</t>
  </si>
  <si>
    <t>19-Jul-2024</t>
  </si>
  <si>
    <t>30-May-2024</t>
  </si>
  <si>
    <t>04-Nov-2024</t>
  </si>
  <si>
    <t>19-Oct-2024</t>
  </si>
  <si>
    <t>19-May-2024</t>
  </si>
  <si>
    <t>04-Feb-2024</t>
  </si>
  <si>
    <t>06-Jun-2024</t>
  </si>
  <si>
    <t>26-Feb-2024</t>
  </si>
  <si>
    <t>28-Nov-2024</t>
  </si>
  <si>
    <t>29-Aug-2024</t>
  </si>
  <si>
    <t>26-Mar-2024</t>
  </si>
  <si>
    <t>27-Sep-2024</t>
  </si>
  <si>
    <t>08-Jul-2024</t>
  </si>
  <si>
    <t>16-Jan-2024</t>
  </si>
  <si>
    <t>11-Aug-2024</t>
  </si>
  <si>
    <t>09-Jan-2024</t>
  </si>
  <si>
    <t>14-Jun-2024</t>
  </si>
  <si>
    <t>22-Jun-2024</t>
  </si>
  <si>
    <t>29-Oct-2024</t>
  </si>
  <si>
    <t>10-May-2024</t>
  </si>
  <si>
    <t>27-Mar-2024</t>
  </si>
  <si>
    <t>13-Apr-2024</t>
  </si>
  <si>
    <t>12-Feb-2024</t>
  </si>
  <si>
    <t>27-Apr-2024</t>
  </si>
  <si>
    <t>03-Aug-2024</t>
  </si>
  <si>
    <t>20-Aug-2024</t>
  </si>
  <si>
    <t>17-Feb-2024</t>
  </si>
  <si>
    <t>29-Dec-2024</t>
  </si>
  <si>
    <t>25-Jul-2024</t>
  </si>
  <si>
    <t>15-Dec-2024</t>
  </si>
  <si>
    <t>05-Oct-2024</t>
  </si>
  <si>
    <t>10-Feb-2024</t>
  </si>
  <si>
    <t>01-Jun-2024</t>
  </si>
  <si>
    <t>08-Feb-2024</t>
  </si>
  <si>
    <t>06-Sep-2024</t>
  </si>
  <si>
    <t>06-Oct-2024</t>
  </si>
  <si>
    <t>11-Feb-2024</t>
  </si>
  <si>
    <t>02-Feb-2024</t>
  </si>
  <si>
    <t>08-Jun-2024</t>
  </si>
  <si>
    <t>09-Feb-2024</t>
  </si>
  <si>
    <t>02-Dec-2024</t>
  </si>
  <si>
    <t>05-Feb-2024</t>
  </si>
  <si>
    <t>08-Sep-2024</t>
  </si>
  <si>
    <t>16-May-2024</t>
  </si>
  <si>
    <t>11-Mar-2024</t>
  </si>
  <si>
    <t>13-Sep-2024</t>
  </si>
  <si>
    <t>22-Aug-2024</t>
  </si>
  <si>
    <t>11-Jan-2024</t>
  </si>
  <si>
    <t>14-May-2024</t>
  </si>
  <si>
    <t>05-Sep-2024</t>
  </si>
  <si>
    <t>20-Mar-2024</t>
  </si>
  <si>
    <t>16-Oct-2024</t>
  </si>
  <si>
    <t>13-Mar-2024</t>
  </si>
  <si>
    <t>28-Oct-2024</t>
  </si>
  <si>
    <t>06-Feb-2024</t>
  </si>
  <si>
    <t>29-Apr-2024</t>
  </si>
  <si>
    <t>19-Feb-2024</t>
  </si>
  <si>
    <t>03-Nov-2024</t>
  </si>
  <si>
    <t>01-Aug-2024</t>
  </si>
  <si>
    <t>01-May-2024</t>
  </si>
  <si>
    <t>26-Sep-2024</t>
  </si>
  <si>
    <t>07-Jan-2024</t>
  </si>
  <si>
    <t>18-Apr-2024</t>
  </si>
  <si>
    <t>16-Jun-2024</t>
  </si>
  <si>
    <t>27-Jan-2024</t>
  </si>
  <si>
    <t>27-Feb-2024</t>
  </si>
  <si>
    <t>08-Aug-2024</t>
  </si>
  <si>
    <t>30-Sep-2024</t>
  </si>
  <si>
    <t>10-Jan-2024</t>
  </si>
  <si>
    <t>14-Feb-2024</t>
  </si>
  <si>
    <t>07-Dec-2024</t>
  </si>
  <si>
    <t>12-Oct-2024</t>
  </si>
  <si>
    <t>11-Dec-2024</t>
  </si>
  <si>
    <t>10-Jun-2024</t>
  </si>
  <si>
    <t>13-Nov-2024</t>
  </si>
  <si>
    <t>11-Oct-2024</t>
  </si>
  <si>
    <t>19-Jan-2024</t>
  </si>
  <si>
    <t>23-Apr-2024</t>
  </si>
  <si>
    <t>15-Jun-2024</t>
  </si>
  <si>
    <t>09-Jun-2024</t>
  </si>
  <si>
    <t>05-Aug-2024</t>
  </si>
  <si>
    <t>26-Aug-2024</t>
  </si>
  <si>
    <t>08-Apr-2024</t>
  </si>
  <si>
    <t>19-Apr-2024</t>
  </si>
  <si>
    <t>25-Oct-2024</t>
  </si>
  <si>
    <t>24-May-2024</t>
  </si>
  <si>
    <t>18-Dec-2024</t>
  </si>
  <si>
    <t>15-Apr-2024</t>
  </si>
  <si>
    <t>15-Feb-2024</t>
  </si>
  <si>
    <t>22-Dec-2024</t>
  </si>
  <si>
    <t>08-Oct-2024</t>
  </si>
  <si>
    <t>05-Dec-2024</t>
  </si>
  <si>
    <t>28-May-2024</t>
  </si>
  <si>
    <t>17-May-2024</t>
  </si>
  <si>
    <t>25-Feb-2024</t>
  </si>
  <si>
    <t>16-Apr-2024</t>
  </si>
  <si>
    <t>22-May-2024</t>
  </si>
  <si>
    <t>24-Aug-2024</t>
  </si>
  <si>
    <t>17-Dec-2024</t>
  </si>
  <si>
    <t>17-Oct-2024</t>
  </si>
  <si>
    <t>14-Dec-2024</t>
  </si>
  <si>
    <t>26-Jun-2024</t>
  </si>
  <si>
    <t>24-Sep-2024</t>
  </si>
  <si>
    <t>30-Dec-2024</t>
  </si>
  <si>
    <t>30-Mar-2024</t>
  </si>
  <si>
    <t>06-Jan-2024</t>
  </si>
  <si>
    <t>18-Oct-2024</t>
  </si>
  <si>
    <t>12-Dec-2024</t>
  </si>
  <si>
    <t>25-Aug-2024</t>
  </si>
  <si>
    <t>09-Nov-2024</t>
  </si>
  <si>
    <t>10-Dec-2024</t>
  </si>
  <si>
    <t>31-Aug-2024</t>
  </si>
  <si>
    <t>08-Mar-2024</t>
  </si>
  <si>
    <t>14-Oct-2024</t>
  </si>
  <si>
    <t>10-Oct-2024</t>
  </si>
  <si>
    <t>15-May-2024</t>
  </si>
  <si>
    <t>11-May-2024</t>
  </si>
  <si>
    <t>10-Aug-2024</t>
  </si>
  <si>
    <t>17-Nov-2024</t>
  </si>
  <si>
    <t>22-Sep-2024</t>
  </si>
  <si>
    <t>27-Jul-2024</t>
  </si>
  <si>
    <t>08-Dec-2024</t>
  </si>
  <si>
    <t>20-Oct-2024</t>
  </si>
  <si>
    <t>17-Sep-2024</t>
  </si>
  <si>
    <t>01-Mar-2024</t>
  </si>
  <si>
    <t>17-Apr-2024</t>
  </si>
  <si>
    <t>01-Sep-2024</t>
  </si>
  <si>
    <t>15-Aug-2024</t>
  </si>
  <si>
    <t>17-Aug-2024</t>
  </si>
  <si>
    <t>12-Sep-2024</t>
  </si>
  <si>
    <t>29-Feb-2024</t>
  </si>
  <si>
    <t>29-Nov-2024</t>
  </si>
  <si>
    <t>Month</t>
  </si>
  <si>
    <t>Sales</t>
  </si>
  <si>
    <t>Row Labels</t>
  </si>
  <si>
    <t>Grand Total</t>
  </si>
  <si>
    <t>Sum of Sales</t>
  </si>
  <si>
    <t>Jan</t>
  </si>
  <si>
    <t>Feb</t>
  </si>
  <si>
    <t>Mar</t>
  </si>
  <si>
    <t>Apr</t>
  </si>
  <si>
    <t>May</t>
  </si>
  <si>
    <t>Jun</t>
  </si>
  <si>
    <t>Jul</t>
  </si>
  <si>
    <t>Aug</t>
  </si>
  <si>
    <t>Sep</t>
  </si>
  <si>
    <t>Oct</t>
  </si>
  <si>
    <t>Nov</t>
  </si>
  <si>
    <t>Dec</t>
  </si>
  <si>
    <r>
      <rPr>
        <b/>
        <sz val="12"/>
        <color theme="1"/>
        <rFont val="Calibri"/>
        <family val="2"/>
        <scheme val="minor"/>
      </rPr>
      <t>Insights:</t>
    </r>
    <r>
      <rPr>
        <sz val="11"/>
        <color theme="1"/>
        <rFont val="Calibri"/>
        <family val="2"/>
        <scheme val="minor"/>
      </rPr>
      <t xml:space="preserve">
• Electronics contributes highest revenue share
• Bangalore and Mumbai are top-performing cities
• Sales peak during mid-year months</t>
    </r>
  </si>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</sst>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22"/>
      <color theme="1"/>
      <name val="Calibri"/>
      <family val="2"/>
      <scheme val="minor"/>
    </font>
    <font>
      <b/>
      <sz val="12"/>
      <color theme="1"/>
      <name val="Calibri"/>
      <family val="2"/>
      <scheme val="minor"/>
    </font>
    <font>
      <b/>
      <sz val="26"/>
      <color theme="0"/>
      <name val="Aptos ExtraBold"/>
      <family val="2"/>
    </font>
  </fonts>
  <fills count="5">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7" tint="0.79998168889431442"/>
        <bgColor indexed="64"/>
      </patternFill>
    </fill>
  </fills>
  <borders count="9">
    <border>
      <left/>
      <right/>
      <top/>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top/>
      <bottom style="thick">
        <color rgb="FFFFC000"/>
      </bottom>
      <diagonal/>
    </border>
    <border>
      <left/>
      <right style="thick">
        <color rgb="FFFFC000"/>
      </right>
      <top/>
      <bottom style="thick">
        <color rgb="FFFFC000"/>
      </bottom>
      <diagonal/>
    </border>
  </borders>
  <cellStyleXfs count="1">
    <xf numFmtId="0" fontId="0" fillId="0" borderId="0"/>
  </cellStyleXfs>
  <cellXfs count="16">
    <xf numFmtId="0" fontId="0" fillId="0" borderId="0" xfId="0"/>
    <xf numFmtId="0" fontId="0" fillId="0" borderId="0" xfId="0" applyAlignment="1">
      <alignment horizontal="center"/>
    </xf>
    <xf numFmtId="0" fontId="0" fillId="3" borderId="0" xfId="0" applyFill="1"/>
    <xf numFmtId="0" fontId="0" fillId="3" borderId="0" xfId="0" applyFill="1" applyAlignment="1">
      <alignment horizontal="left"/>
    </xf>
    <xf numFmtId="0" fontId="3" fillId="2" borderId="0" xfId="0" applyFont="1" applyFill="1" applyAlignment="1">
      <alignment horizontal="center"/>
    </xf>
    <xf numFmtId="3" fontId="1" fillId="4" borderId="1" xfId="0" applyNumberFormat="1" applyFont="1" applyFill="1" applyBorder="1" applyAlignment="1">
      <alignment horizontal="center" vertical="center"/>
    </xf>
    <xf numFmtId="3" fontId="1" fillId="4" borderId="2" xfId="0" applyNumberFormat="1" applyFont="1" applyFill="1" applyBorder="1" applyAlignment="1">
      <alignment horizontal="center" vertical="center"/>
    </xf>
    <xf numFmtId="3" fontId="1" fillId="4" borderId="3" xfId="0" applyNumberFormat="1" applyFont="1" applyFill="1" applyBorder="1" applyAlignment="1">
      <alignment horizontal="center" vertical="center"/>
    </xf>
    <xf numFmtId="3" fontId="1" fillId="4" borderId="4" xfId="0" applyNumberFormat="1" applyFont="1" applyFill="1" applyBorder="1" applyAlignment="1">
      <alignment horizontal="center" vertical="center"/>
    </xf>
    <xf numFmtId="3" fontId="1" fillId="4" borderId="0" xfId="0" applyNumberFormat="1" applyFont="1" applyFill="1" applyAlignment="1">
      <alignment horizontal="center" vertical="center"/>
    </xf>
    <xf numFmtId="3" fontId="1" fillId="4" borderId="5" xfId="0" applyNumberFormat="1" applyFont="1" applyFill="1" applyBorder="1" applyAlignment="1">
      <alignment horizontal="center" vertical="center"/>
    </xf>
    <xf numFmtId="3" fontId="1" fillId="4" borderId="6" xfId="0" applyNumberFormat="1" applyFont="1" applyFill="1" applyBorder="1" applyAlignment="1">
      <alignment horizontal="center" vertical="center"/>
    </xf>
    <xf numFmtId="3" fontId="1" fillId="4" borderId="7" xfId="0" applyNumberFormat="1" applyFont="1" applyFill="1" applyBorder="1" applyAlignment="1">
      <alignment horizontal="center" vertical="center"/>
    </xf>
    <xf numFmtId="3" fontId="1" fillId="4" borderId="8" xfId="0" applyNumberFormat="1" applyFont="1" applyFill="1" applyBorder="1" applyAlignment="1">
      <alignment horizontal="center" vertical="center"/>
    </xf>
    <xf numFmtId="0" fontId="0" fillId="3" borderId="0" xfId="0" applyFill="1" applyAlignment="1">
      <alignment horizontal="left" vertical="top" wrapText="1"/>
    </xf>
    <xf numFmtId="0" fontId="0" fillId="3" borderId="0" xfId="0" applyFill="1" applyAlignment="1">
      <alignment horizontal="left" vertical="top"/>
    </xf>
  </cellXfs>
  <cellStyles count="1">
    <cellStyle name="Normal" xfId="0" builtinId="0"/>
  </cellStyles>
  <dxfs count="38">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[Sales Performance Analytics.xlsx]Analysis!PivotTable5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Category</a:t>
            </a:r>
          </a:p>
        </c:rich>
      </c:tx>
      <c:layout>
        <c:manualLayout>
          <c:xMode val="edge"/>
          <c:yMode val="edge"/>
          <c:x val="0.37728455818022749"/>
          <c:y val="2.34978374182100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Analysis!$A$6:$A$9</c:f>
              <c:strCache>
                <c:ptCount val="3"/>
                <c:pt idx="0">
                  <c:v>Clothing</c:v>
                </c:pt>
                <c:pt idx="1">
                  <c:v>Electronics</c:v>
                </c:pt>
                <c:pt idx="2">
                  <c:v>Furniture</c:v>
                </c:pt>
              </c:strCache>
            </c:strRef>
          </c:cat>
          <c:val>
            <c:numRef>
              <c:f>Analysis!$B$6:$B$9</c:f>
              <c:numCache>
                <c:formatCode>General</c:formatCode>
                <c:ptCount val="3"/>
                <c:pt idx="0">
                  <c:v>1379000</c:v>
                </c:pt>
                <c:pt idx="1">
                  <c:v>11245000</c:v>
                </c:pt>
                <c:pt idx="2">
                  <c:v>5714000</c:v>
                </c:pt>
              </c:numCache>
            </c:numRef>
          </c:val>
          <c:extLst>
            <c:ext xmlns:c16="http://schemas.microsoft.com/office/drawing/2014/chart" uri="{C3380CC4-5D6E-409C-BE32-E72D297353CC}">
              <c16:uniqueId val="{00000000-FA5F-470F-8661-A77FD7C5A451}"/>
            </c:ext>
          </c:extLst>
        </c:ser>
        <c:dLbls>
          <c:dLblPos val="outEnd"/>
          <c:showLegendKey val="0"/>
          <c:showVal val="1"/>
          <c:showCatName val="0"/>
          <c:showSerName val="0"/>
          <c:showPercent val="0"/>
          <c:showBubbleSize val="0"/>
        </c:dLbls>
        <c:gapWidth val="100"/>
        <c:overlap val="-24"/>
        <c:axId val="1601486927"/>
        <c:axId val="1601479247"/>
      </c:barChart>
      <c:catAx>
        <c:axId val="1601486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479247"/>
        <c:crosses val="autoZero"/>
        <c:auto val="1"/>
        <c:lblAlgn val="ctr"/>
        <c:lblOffset val="100"/>
        <c:noMultiLvlLbl val="0"/>
      </c:catAx>
      <c:valAx>
        <c:axId val="1601479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48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 Analytics.xlsx]Analysis!PivotTable6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City</a:t>
            </a:r>
          </a:p>
        </c:rich>
      </c:tx>
      <c:layout>
        <c:manualLayout>
          <c:xMode val="edge"/>
          <c:yMode val="edge"/>
          <c:x val="0.37905114939598872"/>
          <c:y val="3.236412391004477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Analysis!$E$6:$E$16</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Analysis!$F$6:$F$16</c:f>
              <c:numCache>
                <c:formatCode>General</c:formatCode>
                <c:ptCount val="10"/>
                <c:pt idx="0">
                  <c:v>1974100</c:v>
                </c:pt>
                <c:pt idx="1">
                  <c:v>3206100</c:v>
                </c:pt>
                <c:pt idx="2">
                  <c:v>1100200</c:v>
                </c:pt>
                <c:pt idx="3">
                  <c:v>2607300</c:v>
                </c:pt>
                <c:pt idx="4">
                  <c:v>979100</c:v>
                </c:pt>
                <c:pt idx="5">
                  <c:v>840900</c:v>
                </c:pt>
                <c:pt idx="6">
                  <c:v>1661800</c:v>
                </c:pt>
                <c:pt idx="7">
                  <c:v>2811700</c:v>
                </c:pt>
                <c:pt idx="8">
                  <c:v>1896800</c:v>
                </c:pt>
                <c:pt idx="9">
                  <c:v>1260000</c:v>
                </c:pt>
              </c:numCache>
            </c:numRef>
          </c:val>
          <c:extLst>
            <c:ext xmlns:c16="http://schemas.microsoft.com/office/drawing/2014/chart" uri="{C3380CC4-5D6E-409C-BE32-E72D297353CC}">
              <c16:uniqueId val="{00000000-2F8C-4513-9C6F-9FF12E0286BF}"/>
            </c:ext>
          </c:extLst>
        </c:ser>
        <c:dLbls>
          <c:showLegendKey val="0"/>
          <c:showVal val="0"/>
          <c:showCatName val="0"/>
          <c:showSerName val="0"/>
          <c:showPercent val="0"/>
          <c:showBubbleSize val="0"/>
        </c:dLbls>
        <c:gapWidth val="100"/>
        <c:overlap val="-24"/>
        <c:axId val="1601484527"/>
        <c:axId val="1601479727"/>
      </c:barChart>
      <c:catAx>
        <c:axId val="16014845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479727"/>
        <c:crosses val="autoZero"/>
        <c:auto val="1"/>
        <c:lblAlgn val="ctr"/>
        <c:lblOffset val="100"/>
        <c:noMultiLvlLbl val="0"/>
      </c:catAx>
      <c:valAx>
        <c:axId val="160147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48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[Sales Performance Analytics.xlsx]Analysis!PivotTable7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Analysis!$J$5</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Analysis!$I$6:$I$18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Analysis!$J$6:$J$18</c:f>
              <c:numCache>
                <c:formatCode>General</c:formatCode>
                <c:ptCount val="12"/>
                <c:pt idx="0">
                  <c:v>1425700</c:v>
                </c:pt>
                <c:pt idx="1">
                  <c:v>2081200</c:v>
                </c:pt>
                <c:pt idx="2">
                  <c:v>1569700</c:v>
                </c:pt>
                <c:pt idx="3">
                  <c:v>1484600</c:v>
                </c:pt>
                <c:pt idx="4">
                  <c:v>1420700</c:v>
                </c:pt>
                <c:pt idx="5">
                  <c:v>1532500</c:v>
                </c:pt>
                <c:pt idx="6">
                  <c:v>2309200</c:v>
                </c:pt>
                <c:pt idx="7">
                  <c:v>1423100</c:v>
                </c:pt>
                <c:pt idx="8">
                  <c:v>809700</c:v>
                </c:pt>
                <c:pt idx="9">
                  <c:v>1787800</c:v>
                </c:pt>
                <c:pt idx="10">
                  <c:v>1452700</c:v>
                </c:pt>
                <c:pt idx="11">
                  <c:v>1041100</c:v>
                </c:pt>
              </c:numCache>
            </c:numRef>
          </c:val>
          <c:extLst>
            <c:ext xmlns:c16="http://schemas.microsoft.com/office/drawing/2014/chart" uri="{C3380CC4-5D6E-409C-BE32-E72D297353CC}">
              <c16:uniqueId val="{00000000-BFCB-44B6-9397-4AEED121F9E1}"/>
            </c:ext>
          </c:extLst>
        </c:ser>
        <c:dLbls>
          <c:showLegendKey val="0"/>
          <c:showVal val="0"/>
          <c:showCatName val="0"/>
          <c:showSerName val="0"/>
          <c:showPercent val="0"/>
          <c:showBubbleSize val="0"/>
        </c:dLbls>
        <c:gapWidth val="100"/>
        <c:overlap val="-24"/>
        <c:axId val="1601501807"/>
        <c:axId val="1601490767"/>
      </c:barChart>
      <c:catAx>
        <c:axId val="1601501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490767"/>
        <c:crosses val="autoZero"/>
        <c:auto val="1"/>
        <c:lblAlgn val="ctr"/>
        <c:lblOffset val="100"/>
        <c:noMultiLvlLbl val="0"/>
      </c:catAx>
      <c:valAx>
        <c:axId val="160149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50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[Sales Performance Analytics.xlsx]Analysis!PivotTable8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Top products</a:t>
            </a:r>
          </a:p>
        </c:rich>
      </c:tx>
      <c:layout>
        <c:manualLayout>
          <c:xMode val="edge"/>
          <c:yMode val="edge"/>
          <c:x val="0.28078761830799065"/>
          <c:y val="2.94891999536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Analysis!$N$5</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Analysis!$M$6:$M$11</c:f>
              <c:strCache>
                <c:ptCount val="5"/>
                <c:pt idx="0">
                  <c:v>Laptop</c:v>
                </c:pt>
                <c:pt idx="1">
                  <c:v>Sofa</c:v>
                </c:pt>
                <c:pt idx="2">
                  <c:v>Mobile</c:v>
                </c:pt>
                <c:pt idx="3">
                  <c:v>Tablet</c:v>
                </c:pt>
                <c:pt idx="4">
                  <c:v>Table</c:v>
                </c:pt>
              </c:strCache>
            </c:strRef>
          </c:cat>
          <c:val>
            <c:numRef>
              <c:f>Analysis!$N$6:$N$11</c:f>
              <c:numCache>
                <c:formatCode>General</c:formatCode>
                <c:ptCount val="5"/>
                <c:pt idx="0">
                  <c:v>6050000</c:v>
                </c:pt>
                <c:pt idx="1">
                  <c:v>4125000</c:v>
                </c:pt>
                <c:pt idx="2">
                  <c:v>2660000</c:v>
                </c:pt>
                <c:pt idx="3">
                  <c:v>2535000</c:v>
                </c:pt>
                <c:pt idx="4">
                  <c:v>1127000</c:v>
                </c:pt>
              </c:numCache>
            </c:numRef>
          </c:val>
          <c:extLst>
            <c:ext xmlns:c16="http://schemas.microsoft.com/office/drawing/2014/chart" uri="{C3380CC4-5D6E-409C-BE32-E72D297353CC}">
              <c16:uniqueId val="{00000000-2C32-48A7-AC1E-1896DD264F70}"/>
            </c:ext>
          </c:extLst>
        </c:ser>
        <c:dLbls>
          <c:showLegendKey val="0"/>
          <c:showVal val="0"/>
          <c:showCatName val="0"/>
          <c:showSerName val="0"/>
          <c:showPercent val="0"/>
          <c:showBubbleSize val="0"/>
        </c:dLbls>
        <c:gapWidth val="100"/>
        <c:overlap val="-24"/>
        <c:axId val="1601500847"/>
        <c:axId val="1601505647"/>
      </c:barChart>
      <c:catAx>
        <c:axId val="16015008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505647"/>
        <c:crosses val="autoZero"/>
        <c:auto val="1"/>
        <c:lblAlgn val="ctr"/>
        <c:lblOffset val="100"/>
        <c:noMultiLvlLbl val="0"/>
      </c:catAx>
      <c:valAx>
        <c:axId val="1601505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50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824215</xdr:colOff>
      <xdr:row>22</xdr:row>
      <xdr:rowOff>32561</xdr:rowOff>
    </xdr:from>
    <xdr:ext cx="1104901" cy="276225"/>
    <xdr:sp macro="" textlink="">
      <xdr:nvSpPr>
        <xdr:cNvPr id="2" name="TextBox 1">
          <a:extLst>
            <a:ext uri="{FF2B5EF4-FFF2-40B4-BE49-F238E27FC236}">
              <a16:creationId xmlns:a16="http://schemas.microsoft.com/office/drawing/2014/main" id="{34D64BF6-F48A-2F63-6A20-9DB11819BD08}"/>
            </a:ext>
          </a:extLst>
        </xdr:cNvPr>
        <xdr:cNvSpPr txBox="1"/>
      </xdr:nvSpPr>
      <xdr:spPr>
        <a:xfrm>
          <a:off x="824215" y="4274901"/>
          <a:ext cx="1104901" cy="276225"/>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a:latin typeface="Arial Rounded MT Bold" panose="020F0704030504030204" pitchFamily="34" charset="0"/>
            </a:rPr>
            <a:t>Total</a:t>
          </a:r>
          <a:r>
            <a:rPr lang="en-US" sz="1400" baseline="0">
              <a:latin typeface="Arial Rounded MT Bold" panose="020F0704030504030204" pitchFamily="34" charset="0"/>
            </a:rPr>
            <a:t> Sales</a:t>
          </a:r>
          <a:endParaRPr lang="en-US" sz="1400">
            <a:latin typeface="Arial Rounded MT Bold" panose="020F0704030504030204" pitchFamily="34" charset="0"/>
          </a:endParaRPr>
        </a:p>
      </xdr:txBody>
    </xdr:sp>
    <xdr:clientData/>
  </xdr:oneCellAnchor>
  <xdr:oneCellAnchor>
    <xdr:from>
      <xdr:col>5</xdr:col>
      <xdr:colOff>517660</xdr:colOff>
      <xdr:row>22</xdr:row>
      <xdr:rowOff>23035</xdr:rowOff>
    </xdr:from>
    <xdr:ext cx="1181100" cy="314325"/>
    <xdr:sp macro="" textlink="">
      <xdr:nvSpPr>
        <xdr:cNvPr id="3" name="TextBox 2">
          <a:extLst>
            <a:ext uri="{FF2B5EF4-FFF2-40B4-BE49-F238E27FC236}">
              <a16:creationId xmlns:a16="http://schemas.microsoft.com/office/drawing/2014/main" id="{BEEC5B2E-6A86-4862-8122-2E46FB3B04E8}"/>
            </a:ext>
          </a:extLst>
        </xdr:cNvPr>
        <xdr:cNvSpPr txBox="1"/>
      </xdr:nvSpPr>
      <xdr:spPr>
        <a:xfrm>
          <a:off x="5097766" y="4265375"/>
          <a:ext cx="1181100" cy="314325"/>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1"/>
            <a:t>Total </a:t>
          </a:r>
          <a:r>
            <a:rPr lang="en-US" sz="1400">
              <a:solidFill>
                <a:schemeClr val="tx1"/>
              </a:solidFill>
              <a:latin typeface="Arial Rounded MT Bold" panose="020F0704030504030204" pitchFamily="34" charset="0"/>
              <a:ea typeface="+mn-ea"/>
              <a:cs typeface="+mn-cs"/>
            </a:rPr>
            <a:t>Orders</a:t>
          </a:r>
        </a:p>
      </xdr:txBody>
    </xdr:sp>
    <xdr:clientData/>
  </xdr:oneCellAnchor>
  <xdr:twoCellAnchor>
    <xdr:from>
      <xdr:col>0</xdr:col>
      <xdr:colOff>0</xdr:colOff>
      <xdr:row>3</xdr:row>
      <xdr:rowOff>180974</xdr:rowOff>
    </xdr:from>
    <xdr:to>
      <xdr:col>6</xdr:col>
      <xdr:colOff>600075</xdr:colOff>
      <xdr:row>19</xdr:row>
      <xdr:rowOff>180975</xdr:rowOff>
    </xdr:to>
    <xdr:graphicFrame macro="">
      <xdr:nvGraphicFramePr>
        <xdr:cNvPr id="6" name="Chart 5">
          <a:extLst>
            <a:ext uri="{FF2B5EF4-FFF2-40B4-BE49-F238E27FC236}">
              <a16:creationId xmlns:a16="http://schemas.microsoft.com/office/drawing/2014/main" id="{A929D052-8909-65F0-3A8B-B94DDC2565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10</xdr:col>
      <xdr:colOff>242313</xdr:colOff>
      <xdr:row>22</xdr:row>
      <xdr:rowOff>9525</xdr:rowOff>
    </xdr:from>
    <xdr:ext cx="2009776" cy="300147"/>
    <xdr:sp macro="" textlink="">
      <xdr:nvSpPr>
        <xdr:cNvPr id="4" name="TextBox 3">
          <a:extLst>
            <a:ext uri="{FF2B5EF4-FFF2-40B4-BE49-F238E27FC236}">
              <a16:creationId xmlns:a16="http://schemas.microsoft.com/office/drawing/2014/main" id="{40AEB0CD-C5F5-4DC4-A0DF-C8A9586445AE}"/>
            </a:ext>
          </a:extLst>
        </xdr:cNvPr>
        <xdr:cNvSpPr txBox="1"/>
      </xdr:nvSpPr>
      <xdr:spPr>
        <a:xfrm>
          <a:off x="9186356" y="4251865"/>
          <a:ext cx="2009776" cy="300147"/>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latin typeface="Arial Rounded MT Bold" panose="020F0704030504030204" pitchFamily="34" charset="0"/>
            </a:rPr>
            <a:t>Average Order Value</a:t>
          </a:r>
        </a:p>
      </xdr:txBody>
    </xdr:sp>
    <xdr:clientData/>
  </xdr:oneCellAnchor>
  <xdr:oneCellAnchor>
    <xdr:from>
      <xdr:col>15</xdr:col>
      <xdr:colOff>38099</xdr:colOff>
      <xdr:row>22</xdr:row>
      <xdr:rowOff>19050</xdr:rowOff>
    </xdr:from>
    <xdr:ext cx="1781176" cy="314325"/>
    <xdr:sp macro="" textlink="">
      <xdr:nvSpPr>
        <xdr:cNvPr id="5" name="TextBox 4">
          <a:extLst>
            <a:ext uri="{FF2B5EF4-FFF2-40B4-BE49-F238E27FC236}">
              <a16:creationId xmlns:a16="http://schemas.microsoft.com/office/drawing/2014/main" id="{D5D08BA4-745D-4BBA-98C6-2B708744C06F}"/>
            </a:ext>
          </a:extLst>
        </xdr:cNvPr>
        <xdr:cNvSpPr txBox="1"/>
      </xdr:nvSpPr>
      <xdr:spPr>
        <a:xfrm>
          <a:off x="11048999" y="3648075"/>
          <a:ext cx="1781176" cy="314325"/>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a:latin typeface="Arial Rounded MT Bold" panose="020F0704030504030204" pitchFamily="34" charset="0"/>
            </a:rPr>
            <a:t>Total Quantity Sold</a:t>
          </a:r>
        </a:p>
      </xdr:txBody>
    </xdr:sp>
    <xdr:clientData/>
  </xdr:oneCellAnchor>
  <xdr:twoCellAnchor>
    <xdr:from>
      <xdr:col>8</xdr:col>
      <xdr:colOff>4761</xdr:colOff>
      <xdr:row>3</xdr:row>
      <xdr:rowOff>157161</xdr:rowOff>
    </xdr:from>
    <xdr:to>
      <xdr:col>15</xdr:col>
      <xdr:colOff>9525</xdr:colOff>
      <xdr:row>19</xdr:row>
      <xdr:rowOff>180975</xdr:rowOff>
    </xdr:to>
    <xdr:graphicFrame macro="">
      <xdr:nvGraphicFramePr>
        <xdr:cNvPr id="7" name="Chart 6">
          <a:extLst>
            <a:ext uri="{FF2B5EF4-FFF2-40B4-BE49-F238E27FC236}">
              <a16:creationId xmlns:a16="http://schemas.microsoft.com/office/drawing/2014/main" id="{7EEE8559-C666-1318-00BC-A951955976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14287</xdr:rowOff>
    </xdr:from>
    <xdr:to>
      <xdr:col>6</xdr:col>
      <xdr:colOff>600075</xdr:colOff>
      <xdr:row>43</xdr:row>
      <xdr:rowOff>104775</xdr:rowOff>
    </xdr:to>
    <xdr:graphicFrame macro="">
      <xdr:nvGraphicFramePr>
        <xdr:cNvPr id="8" name="Chart 7">
          <a:extLst>
            <a:ext uri="{FF2B5EF4-FFF2-40B4-BE49-F238E27FC236}">
              <a16:creationId xmlns:a16="http://schemas.microsoft.com/office/drawing/2014/main" id="{857065CA-7801-A46D-F41F-0E0B66495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23812</xdr:colOff>
      <xdr:row>27</xdr:row>
      <xdr:rowOff>195261</xdr:rowOff>
    </xdr:from>
    <xdr:to>
      <xdr:col>15</xdr:col>
      <xdr:colOff>28575</xdr:colOff>
      <xdr:row>43</xdr:row>
      <xdr:rowOff>133349</xdr:rowOff>
    </xdr:to>
    <xdr:graphicFrame macro="">
      <xdr:nvGraphicFramePr>
        <xdr:cNvPr id="9" name="Chart 8">
          <a:extLst>
            <a:ext uri="{FF2B5EF4-FFF2-40B4-BE49-F238E27FC236}">
              <a16:creationId xmlns:a16="http://schemas.microsoft.com/office/drawing/2014/main" id="{EAFBCCAB-CB2D-9C75-268B-B06F12755A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21405</xdr:colOff>
      <xdr:row>29</xdr:row>
      <xdr:rowOff>20228</xdr:rowOff>
    </xdr:from>
    <xdr:to>
      <xdr:col>20</xdr:col>
      <xdr:colOff>21406</xdr:colOff>
      <xdr:row>41</xdr:row>
      <xdr:rowOff>10702</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8A22C3E2-E529-4140-CF8B-21A39238F5A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306213" y="5100228"/>
              <a:ext cx="1831730" cy="23350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20227</xdr:colOff>
      <xdr:row>5</xdr:row>
      <xdr:rowOff>1284</xdr:rowOff>
    </xdr:from>
    <xdr:to>
      <xdr:col>20</xdr:col>
      <xdr:colOff>20228</xdr:colOff>
      <xdr:row>17</xdr:row>
      <xdr:rowOff>1</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8A7A7D18-E42D-37EE-DE59-0590C1D89DA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359918" y="386565"/>
              <a:ext cx="1830084" cy="2310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22153</xdr:colOff>
      <xdr:row>18</xdr:row>
      <xdr:rowOff>16697</xdr:rowOff>
    </xdr:from>
    <xdr:to>
      <xdr:col>22</xdr:col>
      <xdr:colOff>22152</xdr:colOff>
      <xdr:row>28</xdr:row>
      <xdr:rowOff>4493</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9FBFB7A9-3264-D73F-DC2E-E64219FEF31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581900" y="2906304"/>
              <a:ext cx="1830084" cy="19204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M" refreshedDate="46141.686957986109" createdVersion="8" refreshedVersion="8" minRefreshableVersion="3" recordCount="500" xr:uid="{AB15B449-03CB-438E-B4B0-DA3A64127A05}">
  <cacheSource type="worksheet">
    <worksheetSource name="Salesdata"/>
  </cacheSource>
  <cacheFields count="12">
    <cacheField name="Order ID" numFmtId="0">
      <sharedItems containsSemiMixedTypes="0" containsString="0" containsNumber="1" containsInteger="1" minValue="1001" maxValue="1500"/>
    </cacheField>
    <cacheField name="Date" numFmtId="0">
      <sharedItems/>
    </cacheField>
    <cacheField name="Customer ID" numFmtId="0">
      <sharedItems/>
    </cacheField>
    <cacheField name="Product ID" numFmtId="0">
      <sharedItems/>
    </cacheField>
    <cacheField name="Quantity" numFmtId="0">
      <sharedItems containsSemiMixedTypes="0" containsString="0" containsNumber="1" containsInteger="1" minValue="1" maxValue="5"/>
    </cacheField>
    <cacheField name="City" numFmtId="0">
      <sharedItems count="10">
        <s v="Ahmedabad"/>
        <s v="Lucknow"/>
        <s v="Bangalore"/>
        <s v="Mumbai"/>
        <s v="Pune"/>
        <s v="Kolkata"/>
        <s v="Hyderabad"/>
        <s v="Delhi"/>
        <s v="Chennai"/>
        <s v="Jaipur"/>
      </sharedItems>
    </cacheField>
    <cacheField name="Category" numFmtId="0">
      <sharedItems count="3">
        <s v="Furniture"/>
        <s v="Clothing"/>
        <s v="Electronics"/>
      </sharedItems>
    </cacheField>
    <cacheField name="Price" numFmtId="0">
      <sharedItems containsSemiMixedTypes="0" containsString="0" containsNumber="1" containsInteger="1" minValue="1500" maxValue="50000"/>
    </cacheField>
    <cacheField name="Month" numFmtId="0">
      <sharedItems count="12">
        <s v="Nov"/>
        <s v="Jan"/>
        <s v="Dec"/>
        <s v="May"/>
        <s v="Mar"/>
        <s v="Apr"/>
        <s v="Jul"/>
        <s v="Aug"/>
        <s v="Jun"/>
        <s v="Sep"/>
        <s v="Feb"/>
        <s v="Oct"/>
      </sharedItems>
    </cacheField>
    <cacheField name="Sales" numFmtId="0">
      <sharedItems containsSemiMixedTypes="0" containsString="0" containsNumber="1" containsInteger="1" minValue="1500" maxValue="250000"/>
    </cacheField>
    <cacheField name="Customer Name" numFmtId="0">
      <sharedItems/>
    </cacheField>
    <cacheField name="Product Name" numFmtId="0">
      <sharedItems count="10">
        <s v="Sofa"/>
        <s v="Jeans"/>
        <s v="Shirt"/>
        <s v="Tablet"/>
        <s v="Shoes"/>
        <s v="Chair"/>
        <s v="T-Shirt"/>
        <s v="Mobile"/>
        <s v="Laptop"/>
        <s v="Table"/>
      </sharedItems>
    </cacheField>
  </cacheFields>
  <extLst>
    <ext xmlns:x14="http://schemas.microsoft.com/office/spreadsheetml/2009/9/main" uri="{725AE2AE-9491-48be-B2B4-4EB974FC3084}">
      <x14:pivotCacheDefinition pivotCacheId="14674029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1"/>
    <s v="12-Nov-2024"/>
    <s v="C123"/>
    <s v="P206"/>
    <n v="2"/>
    <x v="0"/>
    <x v="0"/>
    <n v="25000"/>
    <x v="0"/>
    <n v="50000"/>
    <s v="Ravi Patel"/>
    <x v="0"/>
  </r>
  <r>
    <n v="1002"/>
    <s v="05-Jan-2024"/>
    <s v="C113"/>
    <s v="P208"/>
    <n v="1"/>
    <x v="0"/>
    <x v="1"/>
    <n v="2500"/>
    <x v="1"/>
    <n v="2500"/>
    <s v="Priya Kapoor"/>
    <x v="1"/>
  </r>
  <r>
    <n v="1003"/>
    <s v="19-Dec-2024"/>
    <s v="C192"/>
    <s v="P209"/>
    <n v="4"/>
    <x v="1"/>
    <x v="1"/>
    <n v="1800"/>
    <x v="2"/>
    <n v="7200"/>
    <s v="Tanya Sethi"/>
    <x v="2"/>
  </r>
  <r>
    <n v="1004"/>
    <s v="29-May-2024"/>
    <s v="C175"/>
    <s v="P203"/>
    <n v="4"/>
    <x v="2"/>
    <x v="2"/>
    <n v="15000"/>
    <x v="3"/>
    <n v="60000"/>
    <s v="Meera Kulkarni"/>
    <x v="3"/>
  </r>
  <r>
    <n v="1005"/>
    <s v="19-Mar-2024"/>
    <s v="C138"/>
    <s v="P210"/>
    <n v="2"/>
    <x v="3"/>
    <x v="1"/>
    <n v="3500"/>
    <x v="4"/>
    <n v="7000"/>
    <s v="Nitin Joshi"/>
    <x v="4"/>
  </r>
  <r>
    <n v="1006"/>
    <s v="30-Apr-2024"/>
    <s v="C154"/>
    <s v="P204"/>
    <n v="5"/>
    <x v="3"/>
    <x v="0"/>
    <n v="3000"/>
    <x v="5"/>
    <n v="15000"/>
    <s v="Manav Arora"/>
    <x v="5"/>
  </r>
  <r>
    <n v="1007"/>
    <s v="23-Jan-2024"/>
    <s v="C193"/>
    <s v="P207"/>
    <n v="1"/>
    <x v="4"/>
    <x v="1"/>
    <n v="1500"/>
    <x v="1"/>
    <n v="1500"/>
    <s v="Sneha Iyer"/>
    <x v="6"/>
  </r>
  <r>
    <n v="1008"/>
    <s v="29-Jul-2024"/>
    <s v="C109"/>
    <s v="P208"/>
    <n v="5"/>
    <x v="5"/>
    <x v="1"/>
    <n v="2500"/>
    <x v="6"/>
    <n v="12500"/>
    <s v="Tanya Sethi"/>
    <x v="1"/>
  </r>
  <r>
    <n v="1009"/>
    <s v="18-May-2024"/>
    <s v="C193"/>
    <s v="P208"/>
    <n v="4"/>
    <x v="4"/>
    <x v="1"/>
    <n v="2500"/>
    <x v="3"/>
    <n v="10000"/>
    <s v="Sneha Iyer"/>
    <x v="1"/>
  </r>
  <r>
    <n v="1010"/>
    <s v="14-Aug-2024"/>
    <s v="C169"/>
    <s v="P202"/>
    <n v="2"/>
    <x v="4"/>
    <x v="2"/>
    <n v="20000"/>
    <x v="7"/>
    <n v="40000"/>
    <s v="Rohit Sen"/>
    <x v="7"/>
  </r>
  <r>
    <n v="1011"/>
    <s v="24-Nov-2024"/>
    <s v="C106"/>
    <s v="P204"/>
    <n v="3"/>
    <x v="6"/>
    <x v="0"/>
    <n v="3000"/>
    <x v="0"/>
    <n v="9000"/>
    <s v="Rahul Sharma"/>
    <x v="5"/>
  </r>
  <r>
    <n v="1012"/>
    <s v="27-Jun-2024"/>
    <s v="C163"/>
    <s v="P206"/>
    <n v="1"/>
    <x v="1"/>
    <x v="0"/>
    <n v="25000"/>
    <x v="8"/>
    <n v="25000"/>
    <s v="Ankit Roy"/>
    <x v="0"/>
  </r>
  <r>
    <n v="1013"/>
    <s v="15-Sep-2024"/>
    <s v="C163"/>
    <s v="P206"/>
    <n v="2"/>
    <x v="1"/>
    <x v="0"/>
    <n v="25000"/>
    <x v="9"/>
    <n v="50000"/>
    <s v="Ankit Roy"/>
    <x v="0"/>
  </r>
  <r>
    <n v="1014"/>
    <s v="04-May-2024"/>
    <s v="C113"/>
    <s v="P208"/>
    <n v="2"/>
    <x v="0"/>
    <x v="1"/>
    <n v="2500"/>
    <x v="3"/>
    <n v="5000"/>
    <s v="Priya Kapoor"/>
    <x v="1"/>
  </r>
  <r>
    <n v="1015"/>
    <s v="28-Dec-2024"/>
    <s v="C131"/>
    <s v="P206"/>
    <n v="5"/>
    <x v="2"/>
    <x v="0"/>
    <n v="25000"/>
    <x v="2"/>
    <n v="125000"/>
    <s v="Rohit Sen"/>
    <x v="0"/>
  </r>
  <r>
    <n v="1016"/>
    <s v="10-Jul-2024"/>
    <s v="C124"/>
    <s v="P204"/>
    <n v="3"/>
    <x v="3"/>
    <x v="0"/>
    <n v="3000"/>
    <x v="6"/>
    <n v="9000"/>
    <s v="Rahul Sharma"/>
    <x v="5"/>
  </r>
  <r>
    <n v="1017"/>
    <s v="03-Jun-2024"/>
    <s v="C118"/>
    <s v="P209"/>
    <n v="5"/>
    <x v="0"/>
    <x v="1"/>
    <n v="1800"/>
    <x v="8"/>
    <n v="9000"/>
    <s v="Neha Singh"/>
    <x v="2"/>
  </r>
  <r>
    <n v="1018"/>
    <s v="28-Sep-2024"/>
    <s v="C134"/>
    <s v="P206"/>
    <n v="3"/>
    <x v="7"/>
    <x v="0"/>
    <n v="25000"/>
    <x v="9"/>
    <n v="75000"/>
    <s v="Ravi Patel"/>
    <x v="0"/>
  </r>
  <r>
    <n v="1019"/>
    <s v="05-Apr-2024"/>
    <s v="C125"/>
    <s v="P201"/>
    <n v="1"/>
    <x v="2"/>
    <x v="2"/>
    <n v="50000"/>
    <x v="5"/>
    <n v="50000"/>
    <s v="Tanya Sethi"/>
    <x v="8"/>
  </r>
  <r>
    <n v="1020"/>
    <s v="30-Nov-2024"/>
    <s v="C136"/>
    <s v="P201"/>
    <n v="3"/>
    <x v="6"/>
    <x v="2"/>
    <n v="50000"/>
    <x v="0"/>
    <n v="150000"/>
    <s v="Sneha Iyer"/>
    <x v="8"/>
  </r>
  <r>
    <n v="1021"/>
    <s v="05-Nov-2024"/>
    <s v="C109"/>
    <s v="P208"/>
    <n v="4"/>
    <x v="5"/>
    <x v="1"/>
    <n v="2500"/>
    <x v="0"/>
    <n v="10000"/>
    <s v="Tanya Sethi"/>
    <x v="1"/>
  </r>
  <r>
    <n v="1022"/>
    <s v="05-Apr-2024"/>
    <s v="C111"/>
    <s v="P203"/>
    <n v="4"/>
    <x v="8"/>
    <x v="2"/>
    <n v="15000"/>
    <x v="5"/>
    <n v="60000"/>
    <s v="Sejal Shah"/>
    <x v="3"/>
  </r>
  <r>
    <n v="1023"/>
    <s v="21-Aug-2024"/>
    <s v="C172"/>
    <s v="P202"/>
    <n v="4"/>
    <x v="1"/>
    <x v="2"/>
    <n v="20000"/>
    <x v="7"/>
    <n v="80000"/>
    <s v="Manav Arora"/>
    <x v="7"/>
  </r>
  <r>
    <n v="1024"/>
    <s v="06-Apr-2024"/>
    <s v="C176"/>
    <s v="P210"/>
    <n v="2"/>
    <x v="1"/>
    <x v="1"/>
    <n v="3500"/>
    <x v="5"/>
    <n v="7000"/>
    <s v="Priya Kapoor"/>
    <x v="4"/>
  </r>
  <r>
    <n v="1025"/>
    <s v="25-Jan-2024"/>
    <s v="C102"/>
    <s v="P205"/>
    <n v="2"/>
    <x v="4"/>
    <x v="0"/>
    <n v="7000"/>
    <x v="1"/>
    <n v="14000"/>
    <s v="Priya Kapoor"/>
    <x v="9"/>
  </r>
  <r>
    <n v="1026"/>
    <s v="16-Feb-2024"/>
    <s v="C146"/>
    <s v="P204"/>
    <n v="1"/>
    <x v="3"/>
    <x v="0"/>
    <n v="3000"/>
    <x v="10"/>
    <n v="3000"/>
    <s v="Sneha Iyer"/>
    <x v="5"/>
  </r>
  <r>
    <n v="1027"/>
    <s v="26-Dec-2024"/>
    <s v="C143"/>
    <s v="P208"/>
    <n v="1"/>
    <x v="4"/>
    <x v="1"/>
    <n v="2500"/>
    <x v="2"/>
    <n v="2500"/>
    <s v="Nitin Joshi"/>
    <x v="1"/>
  </r>
  <r>
    <n v="1028"/>
    <s v="24-Oct-2024"/>
    <s v="C200"/>
    <s v="P202"/>
    <n v="1"/>
    <x v="9"/>
    <x v="2"/>
    <n v="20000"/>
    <x v="11"/>
    <n v="20000"/>
    <s v="Ravi Patel"/>
    <x v="7"/>
  </r>
  <r>
    <n v="1029"/>
    <s v="21-Jun-2024"/>
    <s v="C121"/>
    <s v="P210"/>
    <n v="2"/>
    <x v="2"/>
    <x v="1"/>
    <n v="3500"/>
    <x v="8"/>
    <n v="7000"/>
    <s v="Manav Arora"/>
    <x v="4"/>
  </r>
  <r>
    <n v="1030"/>
    <s v="28-Jan-2024"/>
    <s v="C155"/>
    <s v="P202"/>
    <n v="5"/>
    <x v="7"/>
    <x v="2"/>
    <n v="20000"/>
    <x v="1"/>
    <n v="100000"/>
    <s v="Manav Arora"/>
    <x v="7"/>
  </r>
  <r>
    <n v="1031"/>
    <s v="14-Apr-2024"/>
    <s v="C138"/>
    <s v="P205"/>
    <n v="1"/>
    <x v="3"/>
    <x v="0"/>
    <n v="7000"/>
    <x v="5"/>
    <n v="7000"/>
    <s v="Nitin Joshi"/>
    <x v="9"/>
  </r>
  <r>
    <n v="1032"/>
    <s v="21-Apr-2024"/>
    <s v="C176"/>
    <s v="P206"/>
    <n v="1"/>
    <x v="1"/>
    <x v="0"/>
    <n v="25000"/>
    <x v="5"/>
    <n v="25000"/>
    <s v="Priya Kapoor"/>
    <x v="0"/>
  </r>
  <r>
    <n v="1033"/>
    <s v="14-Aug-2024"/>
    <s v="C114"/>
    <s v="P210"/>
    <n v="5"/>
    <x v="5"/>
    <x v="1"/>
    <n v="3500"/>
    <x v="7"/>
    <n v="17500"/>
    <s v="Manav Arora"/>
    <x v="4"/>
  </r>
  <r>
    <n v="1034"/>
    <s v="27-May-2024"/>
    <s v="C183"/>
    <s v="P203"/>
    <n v="4"/>
    <x v="3"/>
    <x v="2"/>
    <n v="15000"/>
    <x v="3"/>
    <n v="60000"/>
    <s v="Ishita Bose"/>
    <x v="3"/>
  </r>
  <r>
    <n v="1035"/>
    <s v="07-Mar-2024"/>
    <s v="C122"/>
    <s v="P206"/>
    <n v="3"/>
    <x v="3"/>
    <x v="0"/>
    <n v="25000"/>
    <x v="4"/>
    <n v="75000"/>
    <s v="Amit Verma"/>
    <x v="0"/>
  </r>
  <r>
    <n v="1036"/>
    <s v="28-Jun-2024"/>
    <s v="C120"/>
    <s v="P206"/>
    <n v="3"/>
    <x v="1"/>
    <x v="0"/>
    <n v="25000"/>
    <x v="8"/>
    <n v="75000"/>
    <s v="Nitin Joshi"/>
    <x v="0"/>
  </r>
  <r>
    <n v="1037"/>
    <s v="25-Sep-2024"/>
    <s v="C110"/>
    <s v="P207"/>
    <n v="3"/>
    <x v="0"/>
    <x v="1"/>
    <n v="1500"/>
    <x v="9"/>
    <n v="4500"/>
    <s v="Arjun Malhotra"/>
    <x v="6"/>
  </r>
  <r>
    <n v="1038"/>
    <s v="25-Mar-2024"/>
    <s v="C106"/>
    <s v="P209"/>
    <n v="3"/>
    <x v="6"/>
    <x v="1"/>
    <n v="1800"/>
    <x v="4"/>
    <n v="5400"/>
    <s v="Rahul Sharma"/>
    <x v="2"/>
  </r>
  <r>
    <n v="1039"/>
    <s v="01-Feb-2024"/>
    <s v="C129"/>
    <s v="P209"/>
    <n v="2"/>
    <x v="2"/>
    <x v="1"/>
    <n v="1800"/>
    <x v="10"/>
    <n v="3600"/>
    <s v="Karan Mehta"/>
    <x v="2"/>
  </r>
  <r>
    <n v="1040"/>
    <s v="21-Apr-2024"/>
    <s v="C196"/>
    <s v="P206"/>
    <n v="3"/>
    <x v="7"/>
    <x v="0"/>
    <n v="25000"/>
    <x v="5"/>
    <n v="75000"/>
    <s v="Neha Singh"/>
    <x v="0"/>
  </r>
  <r>
    <n v="1041"/>
    <s v="04-May-2024"/>
    <s v="C162"/>
    <s v="P201"/>
    <n v="1"/>
    <x v="1"/>
    <x v="2"/>
    <n v="50000"/>
    <x v="3"/>
    <n v="50000"/>
    <s v="Rohit Sen"/>
    <x v="8"/>
  </r>
  <r>
    <n v="1042"/>
    <s v="31-Mar-2024"/>
    <s v="C148"/>
    <s v="P204"/>
    <n v="1"/>
    <x v="0"/>
    <x v="0"/>
    <n v="3000"/>
    <x v="4"/>
    <n v="3000"/>
    <s v="Priya Kapoor"/>
    <x v="5"/>
  </r>
  <r>
    <n v="1043"/>
    <s v="31-Jul-2024"/>
    <s v="C138"/>
    <s v="P208"/>
    <n v="2"/>
    <x v="3"/>
    <x v="1"/>
    <n v="2500"/>
    <x v="6"/>
    <n v="5000"/>
    <s v="Nitin Joshi"/>
    <x v="1"/>
  </r>
  <r>
    <n v="1044"/>
    <s v="06-Jul-2024"/>
    <s v="C172"/>
    <s v="P202"/>
    <n v="1"/>
    <x v="1"/>
    <x v="2"/>
    <n v="20000"/>
    <x v="6"/>
    <n v="20000"/>
    <s v="Manav Arora"/>
    <x v="7"/>
  </r>
  <r>
    <n v="1045"/>
    <s v="07-Jun-2024"/>
    <s v="C159"/>
    <s v="P204"/>
    <n v="5"/>
    <x v="2"/>
    <x v="0"/>
    <n v="3000"/>
    <x v="8"/>
    <n v="15000"/>
    <s v="Priya Kapoor"/>
    <x v="5"/>
  </r>
  <r>
    <n v="1046"/>
    <s v="08-Nov-2024"/>
    <s v="C174"/>
    <s v="P203"/>
    <n v="1"/>
    <x v="0"/>
    <x v="2"/>
    <n v="15000"/>
    <x v="0"/>
    <n v="15000"/>
    <s v="Amit Verma"/>
    <x v="3"/>
  </r>
  <r>
    <n v="1047"/>
    <s v="16-Aug-2024"/>
    <s v="C185"/>
    <s v="P205"/>
    <n v="3"/>
    <x v="5"/>
    <x v="0"/>
    <n v="7000"/>
    <x v="7"/>
    <n v="21000"/>
    <s v="Tanya Sethi"/>
    <x v="9"/>
  </r>
  <r>
    <n v="1048"/>
    <s v="29-Jun-2024"/>
    <s v="C120"/>
    <s v="P206"/>
    <n v="2"/>
    <x v="1"/>
    <x v="0"/>
    <n v="25000"/>
    <x v="8"/>
    <n v="50000"/>
    <s v="Nitin Joshi"/>
    <x v="0"/>
  </r>
  <r>
    <n v="1049"/>
    <s v="21-Jun-2024"/>
    <s v="C109"/>
    <s v="P209"/>
    <n v="5"/>
    <x v="5"/>
    <x v="1"/>
    <n v="1800"/>
    <x v="8"/>
    <n v="9000"/>
    <s v="Tanya Sethi"/>
    <x v="2"/>
  </r>
  <r>
    <n v="1050"/>
    <s v="04-Jul-2024"/>
    <s v="C137"/>
    <s v="P209"/>
    <n v="2"/>
    <x v="0"/>
    <x v="1"/>
    <n v="1800"/>
    <x v="6"/>
    <n v="3600"/>
    <s v="Sejal Shah"/>
    <x v="2"/>
  </r>
  <r>
    <n v="1051"/>
    <s v="24-Jun-2024"/>
    <s v="C111"/>
    <s v="P204"/>
    <n v="2"/>
    <x v="8"/>
    <x v="0"/>
    <n v="3000"/>
    <x v="8"/>
    <n v="6000"/>
    <s v="Sejal Shah"/>
    <x v="5"/>
  </r>
  <r>
    <n v="1052"/>
    <s v="03-Mar-2024"/>
    <s v="C127"/>
    <s v="P202"/>
    <n v="3"/>
    <x v="8"/>
    <x v="2"/>
    <n v="20000"/>
    <x v="4"/>
    <n v="60000"/>
    <s v="Ravi Patel"/>
    <x v="7"/>
  </r>
  <r>
    <n v="1053"/>
    <s v="10-Mar-2024"/>
    <s v="C134"/>
    <s v="P208"/>
    <n v="2"/>
    <x v="7"/>
    <x v="1"/>
    <n v="2500"/>
    <x v="4"/>
    <n v="5000"/>
    <s v="Ravi Patel"/>
    <x v="1"/>
  </r>
  <r>
    <n v="1054"/>
    <s v="10-Mar-2024"/>
    <s v="C159"/>
    <s v="P201"/>
    <n v="1"/>
    <x v="2"/>
    <x v="2"/>
    <n v="50000"/>
    <x v="4"/>
    <n v="50000"/>
    <s v="Priya Kapoor"/>
    <x v="8"/>
  </r>
  <r>
    <n v="1055"/>
    <s v="16-Jul-2024"/>
    <s v="C196"/>
    <s v="P206"/>
    <n v="5"/>
    <x v="7"/>
    <x v="0"/>
    <n v="25000"/>
    <x v="6"/>
    <n v="125000"/>
    <s v="Neha Singh"/>
    <x v="0"/>
  </r>
  <r>
    <n v="1056"/>
    <s v="05-Jul-2024"/>
    <s v="C179"/>
    <s v="P201"/>
    <n v="3"/>
    <x v="7"/>
    <x v="2"/>
    <n v="50000"/>
    <x v="6"/>
    <n v="150000"/>
    <s v="Meera Kulkarni"/>
    <x v="8"/>
  </r>
  <r>
    <n v="1057"/>
    <s v="07-Oct-2024"/>
    <s v="C187"/>
    <s v="P202"/>
    <n v="5"/>
    <x v="7"/>
    <x v="2"/>
    <n v="20000"/>
    <x v="11"/>
    <n v="100000"/>
    <s v="Arjun Malhotra"/>
    <x v="7"/>
  </r>
  <r>
    <n v="1058"/>
    <s v="01-Apr-2024"/>
    <s v="C179"/>
    <s v="P206"/>
    <n v="5"/>
    <x v="7"/>
    <x v="0"/>
    <n v="25000"/>
    <x v="5"/>
    <n v="125000"/>
    <s v="Meera Kulkarni"/>
    <x v="0"/>
  </r>
  <r>
    <n v="1059"/>
    <s v="05-Apr-2024"/>
    <s v="C180"/>
    <s v="P210"/>
    <n v="2"/>
    <x v="7"/>
    <x v="1"/>
    <n v="3500"/>
    <x v="5"/>
    <n v="7000"/>
    <s v="Sneha Iyer"/>
    <x v="4"/>
  </r>
  <r>
    <n v="1060"/>
    <s v="09-Dec-2024"/>
    <s v="C183"/>
    <s v="P204"/>
    <n v="1"/>
    <x v="3"/>
    <x v="0"/>
    <n v="3000"/>
    <x v="2"/>
    <n v="3000"/>
    <s v="Ishita Bose"/>
    <x v="5"/>
  </r>
  <r>
    <n v="1061"/>
    <s v="28-Feb-2024"/>
    <s v="C179"/>
    <s v="P208"/>
    <n v="3"/>
    <x v="7"/>
    <x v="1"/>
    <n v="2500"/>
    <x v="10"/>
    <n v="7500"/>
    <s v="Meera Kulkarni"/>
    <x v="1"/>
  </r>
  <r>
    <n v="1062"/>
    <s v="11-Apr-2024"/>
    <s v="C150"/>
    <s v="P210"/>
    <n v="1"/>
    <x v="5"/>
    <x v="1"/>
    <n v="3500"/>
    <x v="5"/>
    <n v="3500"/>
    <s v="Arjun Malhotra"/>
    <x v="4"/>
  </r>
  <r>
    <n v="1063"/>
    <s v="01-Apr-2024"/>
    <s v="C108"/>
    <s v="P208"/>
    <n v="5"/>
    <x v="2"/>
    <x v="1"/>
    <n v="2500"/>
    <x v="5"/>
    <n v="12500"/>
    <s v="Komal Gupta"/>
    <x v="1"/>
  </r>
  <r>
    <n v="1064"/>
    <s v="24-Mar-2024"/>
    <s v="C133"/>
    <s v="P207"/>
    <n v="1"/>
    <x v="7"/>
    <x v="1"/>
    <n v="1500"/>
    <x v="4"/>
    <n v="1500"/>
    <s v="Rahul Sharma"/>
    <x v="6"/>
  </r>
  <r>
    <n v="1065"/>
    <s v="16-Dec-2024"/>
    <s v="C134"/>
    <s v="P208"/>
    <n v="3"/>
    <x v="7"/>
    <x v="1"/>
    <n v="2500"/>
    <x v="2"/>
    <n v="7500"/>
    <s v="Ravi Patel"/>
    <x v="1"/>
  </r>
  <r>
    <n v="1066"/>
    <s v="16-Feb-2024"/>
    <s v="C162"/>
    <s v="P206"/>
    <n v="5"/>
    <x v="1"/>
    <x v="0"/>
    <n v="25000"/>
    <x v="10"/>
    <n v="125000"/>
    <s v="Rohit Sen"/>
    <x v="0"/>
  </r>
  <r>
    <n v="1067"/>
    <s v="13-Oct-2024"/>
    <s v="C173"/>
    <s v="P201"/>
    <n v="4"/>
    <x v="2"/>
    <x v="2"/>
    <n v="50000"/>
    <x v="11"/>
    <n v="200000"/>
    <s v="Neha Singh"/>
    <x v="8"/>
  </r>
  <r>
    <n v="1068"/>
    <s v="07-Apr-2024"/>
    <s v="C160"/>
    <s v="P209"/>
    <n v="3"/>
    <x v="3"/>
    <x v="1"/>
    <n v="1800"/>
    <x v="5"/>
    <n v="5400"/>
    <s v="Karan Mehta"/>
    <x v="2"/>
  </r>
  <r>
    <n v="1069"/>
    <s v="06-Jul-2024"/>
    <s v="C190"/>
    <s v="P210"/>
    <n v="3"/>
    <x v="7"/>
    <x v="1"/>
    <n v="3500"/>
    <x v="6"/>
    <n v="10500"/>
    <s v="Rohit Sen"/>
    <x v="4"/>
  </r>
  <r>
    <n v="1070"/>
    <s v="05-Mar-2024"/>
    <s v="C161"/>
    <s v="P205"/>
    <n v="3"/>
    <x v="9"/>
    <x v="0"/>
    <n v="7000"/>
    <x v="4"/>
    <n v="21000"/>
    <s v="Karan Mehta"/>
    <x v="9"/>
  </r>
  <r>
    <n v="1071"/>
    <s v="04-Apr-2024"/>
    <s v="C169"/>
    <s v="P204"/>
    <n v="4"/>
    <x v="4"/>
    <x v="0"/>
    <n v="3000"/>
    <x v="5"/>
    <n v="12000"/>
    <s v="Rohit Sen"/>
    <x v="5"/>
  </r>
  <r>
    <n v="1072"/>
    <s v="22-Mar-2024"/>
    <s v="C173"/>
    <s v="P205"/>
    <n v="4"/>
    <x v="2"/>
    <x v="0"/>
    <n v="7000"/>
    <x v="4"/>
    <n v="28000"/>
    <s v="Neha Singh"/>
    <x v="9"/>
  </r>
  <r>
    <n v="1073"/>
    <s v="04-Jan-2024"/>
    <s v="C159"/>
    <s v="P201"/>
    <n v="1"/>
    <x v="2"/>
    <x v="2"/>
    <n v="50000"/>
    <x v="1"/>
    <n v="50000"/>
    <s v="Priya Kapoor"/>
    <x v="8"/>
  </r>
  <r>
    <n v="1074"/>
    <s v="02-Jun-2024"/>
    <s v="C157"/>
    <s v="P208"/>
    <n v="5"/>
    <x v="3"/>
    <x v="1"/>
    <n v="2500"/>
    <x v="8"/>
    <n v="12500"/>
    <s v="Ravi Patel"/>
    <x v="1"/>
  </r>
  <r>
    <n v="1075"/>
    <s v="18-Jan-2024"/>
    <s v="C194"/>
    <s v="P203"/>
    <n v="1"/>
    <x v="3"/>
    <x v="2"/>
    <n v="15000"/>
    <x v="1"/>
    <n v="15000"/>
    <s v="Sejal Shah"/>
    <x v="3"/>
  </r>
  <r>
    <n v="1076"/>
    <s v="01-Feb-2024"/>
    <s v="C122"/>
    <s v="P207"/>
    <n v="4"/>
    <x v="3"/>
    <x v="1"/>
    <n v="1500"/>
    <x v="10"/>
    <n v="6000"/>
    <s v="Amit Verma"/>
    <x v="6"/>
  </r>
  <r>
    <n v="1077"/>
    <s v="23-Mar-2024"/>
    <s v="C172"/>
    <s v="P208"/>
    <n v="1"/>
    <x v="1"/>
    <x v="1"/>
    <n v="2500"/>
    <x v="4"/>
    <n v="2500"/>
    <s v="Manav Arora"/>
    <x v="1"/>
  </r>
  <r>
    <n v="1078"/>
    <s v="06-Aug-2024"/>
    <s v="C145"/>
    <s v="P206"/>
    <n v="3"/>
    <x v="1"/>
    <x v="0"/>
    <n v="25000"/>
    <x v="7"/>
    <n v="75000"/>
    <s v="Nitin Joshi"/>
    <x v="0"/>
  </r>
  <r>
    <n v="1079"/>
    <s v="30-Apr-2024"/>
    <s v="C109"/>
    <s v="P206"/>
    <n v="4"/>
    <x v="5"/>
    <x v="0"/>
    <n v="25000"/>
    <x v="5"/>
    <n v="100000"/>
    <s v="Tanya Sethi"/>
    <x v="0"/>
  </r>
  <r>
    <n v="1080"/>
    <s v="18-Nov-2024"/>
    <s v="C154"/>
    <s v="P205"/>
    <n v="4"/>
    <x v="3"/>
    <x v="0"/>
    <n v="7000"/>
    <x v="0"/>
    <n v="28000"/>
    <s v="Manav Arora"/>
    <x v="9"/>
  </r>
  <r>
    <n v="1081"/>
    <s v="25-Apr-2024"/>
    <s v="C190"/>
    <s v="P203"/>
    <n v="2"/>
    <x v="7"/>
    <x v="2"/>
    <n v="15000"/>
    <x v="5"/>
    <n v="30000"/>
    <s v="Rohit Sen"/>
    <x v="3"/>
  </r>
  <r>
    <n v="1082"/>
    <s v="14-Jan-2024"/>
    <s v="C166"/>
    <s v="P206"/>
    <n v="3"/>
    <x v="0"/>
    <x v="0"/>
    <n v="25000"/>
    <x v="1"/>
    <n v="75000"/>
    <s v="Pooja Jain"/>
    <x v="0"/>
  </r>
  <r>
    <n v="1083"/>
    <s v="21-May-2024"/>
    <s v="C193"/>
    <s v="P204"/>
    <n v="3"/>
    <x v="4"/>
    <x v="0"/>
    <n v="3000"/>
    <x v="3"/>
    <n v="9000"/>
    <s v="Sneha Iyer"/>
    <x v="5"/>
  </r>
  <r>
    <n v="1084"/>
    <s v="15-Nov-2024"/>
    <s v="C182"/>
    <s v="P203"/>
    <n v="1"/>
    <x v="3"/>
    <x v="2"/>
    <n v="15000"/>
    <x v="0"/>
    <n v="15000"/>
    <s v="Rohit Sen"/>
    <x v="3"/>
  </r>
  <r>
    <n v="1085"/>
    <s v="26-Jan-2024"/>
    <s v="C124"/>
    <s v="P205"/>
    <n v="1"/>
    <x v="3"/>
    <x v="0"/>
    <n v="7000"/>
    <x v="1"/>
    <n v="7000"/>
    <s v="Rahul Sharma"/>
    <x v="9"/>
  </r>
  <r>
    <n v="1086"/>
    <s v="07-Oct-2024"/>
    <s v="C127"/>
    <s v="P208"/>
    <n v="2"/>
    <x v="8"/>
    <x v="1"/>
    <n v="2500"/>
    <x v="11"/>
    <n v="5000"/>
    <s v="Ravi Patel"/>
    <x v="1"/>
  </r>
  <r>
    <n v="1087"/>
    <s v="13-Oct-2024"/>
    <s v="C174"/>
    <s v="P207"/>
    <n v="5"/>
    <x v="0"/>
    <x v="1"/>
    <n v="1500"/>
    <x v="11"/>
    <n v="7500"/>
    <s v="Amit Verma"/>
    <x v="6"/>
  </r>
  <r>
    <n v="1088"/>
    <s v="27-Oct-2024"/>
    <s v="C139"/>
    <s v="P201"/>
    <n v="1"/>
    <x v="4"/>
    <x v="2"/>
    <n v="50000"/>
    <x v="11"/>
    <n v="50000"/>
    <s v="Arjun Malhotra"/>
    <x v="8"/>
  </r>
  <r>
    <n v="1089"/>
    <s v="03-Apr-2024"/>
    <s v="C113"/>
    <s v="P203"/>
    <n v="1"/>
    <x v="0"/>
    <x v="2"/>
    <n v="15000"/>
    <x v="5"/>
    <n v="15000"/>
    <s v="Priya Kapoor"/>
    <x v="3"/>
  </r>
  <r>
    <n v="1090"/>
    <s v="21-Oct-2024"/>
    <s v="C146"/>
    <s v="P201"/>
    <n v="2"/>
    <x v="3"/>
    <x v="2"/>
    <n v="50000"/>
    <x v="11"/>
    <n v="100000"/>
    <s v="Sneha Iyer"/>
    <x v="8"/>
  </r>
  <r>
    <n v="1091"/>
    <s v="24-Dec-2024"/>
    <s v="C170"/>
    <s v="P201"/>
    <n v="5"/>
    <x v="0"/>
    <x v="2"/>
    <n v="50000"/>
    <x v="2"/>
    <n v="250000"/>
    <s v="Vikas Nair"/>
    <x v="8"/>
  </r>
  <r>
    <n v="1092"/>
    <s v="04-Oct-2024"/>
    <s v="C168"/>
    <s v="P201"/>
    <n v="3"/>
    <x v="2"/>
    <x v="2"/>
    <n v="50000"/>
    <x v="11"/>
    <n v="150000"/>
    <s v="Pooja Jain"/>
    <x v="8"/>
  </r>
  <r>
    <n v="1093"/>
    <s v="31-Jan-2024"/>
    <s v="C173"/>
    <s v="P210"/>
    <n v="4"/>
    <x v="2"/>
    <x v="1"/>
    <n v="3500"/>
    <x v="1"/>
    <n v="14000"/>
    <s v="Neha Singh"/>
    <x v="4"/>
  </r>
  <r>
    <n v="1094"/>
    <s v="29-Jan-2024"/>
    <s v="C114"/>
    <s v="P203"/>
    <n v="1"/>
    <x v="5"/>
    <x v="2"/>
    <n v="15000"/>
    <x v="1"/>
    <n v="15000"/>
    <s v="Manav Arora"/>
    <x v="3"/>
  </r>
  <r>
    <n v="1095"/>
    <s v="17-Jul-2024"/>
    <s v="C141"/>
    <s v="P204"/>
    <n v="5"/>
    <x v="7"/>
    <x v="0"/>
    <n v="3000"/>
    <x v="6"/>
    <n v="15000"/>
    <s v="Amit Verma"/>
    <x v="5"/>
  </r>
  <r>
    <n v="1096"/>
    <s v="14-Nov-2024"/>
    <s v="C174"/>
    <s v="P206"/>
    <n v="1"/>
    <x v="0"/>
    <x v="0"/>
    <n v="25000"/>
    <x v="0"/>
    <n v="25000"/>
    <s v="Amit Verma"/>
    <x v="0"/>
  </r>
  <r>
    <n v="1097"/>
    <s v="23-Oct-2024"/>
    <s v="C188"/>
    <s v="P208"/>
    <n v="2"/>
    <x v="8"/>
    <x v="1"/>
    <n v="2500"/>
    <x v="11"/>
    <n v="5000"/>
    <s v="Arjun Malhotra"/>
    <x v="1"/>
  </r>
  <r>
    <n v="1098"/>
    <s v="20-May-2024"/>
    <s v="C161"/>
    <s v="P201"/>
    <n v="4"/>
    <x v="9"/>
    <x v="2"/>
    <n v="50000"/>
    <x v="3"/>
    <n v="200000"/>
    <s v="Karan Mehta"/>
    <x v="8"/>
  </r>
  <r>
    <n v="1099"/>
    <s v="02-Mar-2024"/>
    <s v="C137"/>
    <s v="P201"/>
    <n v="4"/>
    <x v="0"/>
    <x v="2"/>
    <n v="50000"/>
    <x v="4"/>
    <n v="200000"/>
    <s v="Sejal Shah"/>
    <x v="8"/>
  </r>
  <r>
    <n v="1100"/>
    <s v="25-Dec-2024"/>
    <s v="C195"/>
    <s v="P203"/>
    <n v="3"/>
    <x v="4"/>
    <x v="2"/>
    <n v="15000"/>
    <x v="2"/>
    <n v="45000"/>
    <s v="Ravi Patel"/>
    <x v="3"/>
  </r>
  <r>
    <n v="1101"/>
    <s v="08-Jan-2024"/>
    <s v="C107"/>
    <s v="P205"/>
    <n v="1"/>
    <x v="6"/>
    <x v="0"/>
    <n v="7000"/>
    <x v="1"/>
    <n v="7000"/>
    <s v="Pooja Jain"/>
    <x v="9"/>
  </r>
  <r>
    <n v="1102"/>
    <s v="07-Jun-2024"/>
    <s v="C107"/>
    <s v="P206"/>
    <n v="5"/>
    <x v="6"/>
    <x v="0"/>
    <n v="25000"/>
    <x v="8"/>
    <n v="125000"/>
    <s v="Pooja Jain"/>
    <x v="0"/>
  </r>
  <r>
    <n v="1103"/>
    <s v="02-Oct-2024"/>
    <s v="C153"/>
    <s v="P206"/>
    <n v="3"/>
    <x v="2"/>
    <x v="0"/>
    <n v="25000"/>
    <x v="11"/>
    <n v="75000"/>
    <s v="Priya Kapoor"/>
    <x v="0"/>
  </r>
  <r>
    <n v="1104"/>
    <s v="31-May-2024"/>
    <s v="C126"/>
    <s v="P206"/>
    <n v="3"/>
    <x v="8"/>
    <x v="0"/>
    <n v="25000"/>
    <x v="3"/>
    <n v="75000"/>
    <s v="Sneha Iyer"/>
    <x v="0"/>
  </r>
  <r>
    <n v="1105"/>
    <s v="21-Sep-2024"/>
    <s v="C114"/>
    <s v="P204"/>
    <n v="2"/>
    <x v="5"/>
    <x v="0"/>
    <n v="3000"/>
    <x v="9"/>
    <n v="6000"/>
    <s v="Manav Arora"/>
    <x v="5"/>
  </r>
  <r>
    <n v="1106"/>
    <s v="17-Jan-2024"/>
    <s v="C159"/>
    <s v="P210"/>
    <n v="3"/>
    <x v="2"/>
    <x v="1"/>
    <n v="3500"/>
    <x v="1"/>
    <n v="10500"/>
    <s v="Priya Kapoor"/>
    <x v="4"/>
  </r>
  <r>
    <n v="1107"/>
    <s v="30-Jul-2024"/>
    <s v="C175"/>
    <s v="P203"/>
    <n v="2"/>
    <x v="2"/>
    <x v="2"/>
    <n v="15000"/>
    <x v="6"/>
    <n v="30000"/>
    <s v="Meera Kulkarni"/>
    <x v="3"/>
  </r>
  <r>
    <n v="1108"/>
    <s v="04-Sep-2024"/>
    <s v="C161"/>
    <s v="P204"/>
    <n v="5"/>
    <x v="9"/>
    <x v="0"/>
    <n v="3000"/>
    <x v="9"/>
    <n v="15000"/>
    <s v="Karan Mehta"/>
    <x v="5"/>
  </r>
  <r>
    <n v="1109"/>
    <s v="03-Feb-2024"/>
    <s v="C184"/>
    <s v="P205"/>
    <n v="4"/>
    <x v="5"/>
    <x v="0"/>
    <n v="7000"/>
    <x v="10"/>
    <n v="28000"/>
    <s v="Tanya Sethi"/>
    <x v="9"/>
  </r>
  <r>
    <n v="1110"/>
    <s v="21-Jul-2024"/>
    <s v="C198"/>
    <s v="P203"/>
    <n v="1"/>
    <x v="3"/>
    <x v="2"/>
    <n v="15000"/>
    <x v="6"/>
    <n v="15000"/>
    <s v="Karan Mehta"/>
    <x v="3"/>
  </r>
  <r>
    <n v="1111"/>
    <s v="09-Jul-2024"/>
    <s v="C172"/>
    <s v="P202"/>
    <n v="1"/>
    <x v="1"/>
    <x v="2"/>
    <n v="20000"/>
    <x v="6"/>
    <n v="20000"/>
    <s v="Manav Arora"/>
    <x v="7"/>
  </r>
  <r>
    <n v="1112"/>
    <s v="18-Jul-2024"/>
    <s v="C181"/>
    <s v="P208"/>
    <n v="5"/>
    <x v="1"/>
    <x v="1"/>
    <n v="2500"/>
    <x v="6"/>
    <n v="12500"/>
    <s v="Manav Arora"/>
    <x v="1"/>
  </r>
  <r>
    <n v="1113"/>
    <s v="21-Jul-2024"/>
    <s v="C195"/>
    <s v="P210"/>
    <n v="1"/>
    <x v="4"/>
    <x v="1"/>
    <n v="3500"/>
    <x v="6"/>
    <n v="3500"/>
    <s v="Ravi Patel"/>
    <x v="4"/>
  </r>
  <r>
    <n v="1114"/>
    <s v="12-Mar-2024"/>
    <s v="C173"/>
    <s v="P204"/>
    <n v="2"/>
    <x v="2"/>
    <x v="0"/>
    <n v="3000"/>
    <x v="4"/>
    <n v="6000"/>
    <s v="Neha Singh"/>
    <x v="5"/>
  </r>
  <r>
    <n v="1115"/>
    <s v="28-Jul-2024"/>
    <s v="C129"/>
    <s v="P202"/>
    <n v="4"/>
    <x v="2"/>
    <x v="2"/>
    <n v="20000"/>
    <x v="6"/>
    <n v="80000"/>
    <s v="Karan Mehta"/>
    <x v="7"/>
  </r>
  <r>
    <n v="1116"/>
    <s v="14-Aug-2024"/>
    <s v="C144"/>
    <s v="P204"/>
    <n v="4"/>
    <x v="4"/>
    <x v="0"/>
    <n v="3000"/>
    <x v="7"/>
    <n v="12000"/>
    <s v="Rahul Sharma"/>
    <x v="5"/>
  </r>
  <r>
    <n v="1117"/>
    <s v="23-Jun-2024"/>
    <s v="C139"/>
    <s v="P207"/>
    <n v="4"/>
    <x v="4"/>
    <x v="1"/>
    <n v="1500"/>
    <x v="8"/>
    <n v="6000"/>
    <s v="Arjun Malhotra"/>
    <x v="6"/>
  </r>
  <r>
    <n v="1118"/>
    <s v="25-Jun-2024"/>
    <s v="C156"/>
    <s v="P207"/>
    <n v="4"/>
    <x v="4"/>
    <x v="1"/>
    <n v="1500"/>
    <x v="8"/>
    <n v="6000"/>
    <s v="Sejal Shah"/>
    <x v="6"/>
  </r>
  <r>
    <n v="1119"/>
    <s v="12-May-2024"/>
    <s v="C140"/>
    <s v="P207"/>
    <n v="1"/>
    <x v="7"/>
    <x v="1"/>
    <n v="1500"/>
    <x v="3"/>
    <n v="1500"/>
    <s v="Rahul Sharma"/>
    <x v="6"/>
  </r>
  <r>
    <n v="1120"/>
    <s v="20-Sep-2024"/>
    <s v="C104"/>
    <s v="P203"/>
    <n v="5"/>
    <x v="8"/>
    <x v="2"/>
    <n v="15000"/>
    <x v="9"/>
    <n v="75000"/>
    <s v="Sneha Iyer"/>
    <x v="3"/>
  </r>
  <r>
    <n v="1121"/>
    <s v="25-Sep-2024"/>
    <s v="C145"/>
    <s v="P203"/>
    <n v="4"/>
    <x v="1"/>
    <x v="2"/>
    <n v="15000"/>
    <x v="9"/>
    <n v="60000"/>
    <s v="Nitin Joshi"/>
    <x v="3"/>
  </r>
  <r>
    <n v="1122"/>
    <s v="23-Jan-2024"/>
    <s v="C103"/>
    <s v="P203"/>
    <n v="1"/>
    <x v="9"/>
    <x v="2"/>
    <n v="15000"/>
    <x v="1"/>
    <n v="15000"/>
    <s v="Priya Kapoor"/>
    <x v="3"/>
  </r>
  <r>
    <n v="1123"/>
    <s v="04-May-2024"/>
    <s v="C150"/>
    <s v="P205"/>
    <n v="3"/>
    <x v="5"/>
    <x v="0"/>
    <n v="7000"/>
    <x v="3"/>
    <n v="21000"/>
    <s v="Arjun Malhotra"/>
    <x v="9"/>
  </r>
  <r>
    <n v="1124"/>
    <s v="26-Jan-2024"/>
    <s v="C150"/>
    <s v="P207"/>
    <n v="2"/>
    <x v="5"/>
    <x v="1"/>
    <n v="1500"/>
    <x v="1"/>
    <n v="3000"/>
    <s v="Arjun Malhotra"/>
    <x v="6"/>
  </r>
  <r>
    <n v="1125"/>
    <s v="10-Nov-2024"/>
    <s v="C184"/>
    <s v="P205"/>
    <n v="3"/>
    <x v="5"/>
    <x v="0"/>
    <n v="7000"/>
    <x v="0"/>
    <n v="21000"/>
    <s v="Tanya Sethi"/>
    <x v="9"/>
  </r>
  <r>
    <n v="1126"/>
    <s v="03-Dec-2024"/>
    <s v="C142"/>
    <s v="P209"/>
    <n v="2"/>
    <x v="3"/>
    <x v="1"/>
    <n v="1800"/>
    <x v="2"/>
    <n v="3600"/>
    <s v="Neha Singh"/>
    <x v="2"/>
  </r>
  <r>
    <n v="1127"/>
    <s v="23-Feb-2024"/>
    <s v="C174"/>
    <s v="P201"/>
    <n v="4"/>
    <x v="0"/>
    <x v="2"/>
    <n v="50000"/>
    <x v="10"/>
    <n v="200000"/>
    <s v="Amit Verma"/>
    <x v="8"/>
  </r>
  <r>
    <n v="1128"/>
    <s v="23-Aug-2024"/>
    <s v="C170"/>
    <s v="P203"/>
    <n v="5"/>
    <x v="0"/>
    <x v="2"/>
    <n v="15000"/>
    <x v="7"/>
    <n v="75000"/>
    <s v="Vikas Nair"/>
    <x v="3"/>
  </r>
  <r>
    <n v="1129"/>
    <s v="02-Jun-2024"/>
    <s v="C188"/>
    <s v="P202"/>
    <n v="3"/>
    <x v="8"/>
    <x v="2"/>
    <n v="20000"/>
    <x v="8"/>
    <n v="60000"/>
    <s v="Arjun Malhotra"/>
    <x v="7"/>
  </r>
  <r>
    <n v="1130"/>
    <s v="30-Jun-2024"/>
    <s v="C117"/>
    <s v="P209"/>
    <n v="3"/>
    <x v="1"/>
    <x v="1"/>
    <n v="1800"/>
    <x v="8"/>
    <n v="5400"/>
    <s v="Priya Kapoor"/>
    <x v="2"/>
  </r>
  <r>
    <n v="1131"/>
    <s v="13-Feb-2024"/>
    <s v="C184"/>
    <s v="P201"/>
    <n v="5"/>
    <x v="5"/>
    <x v="2"/>
    <n v="50000"/>
    <x v="10"/>
    <n v="250000"/>
    <s v="Tanya Sethi"/>
    <x v="8"/>
  </r>
  <r>
    <n v="1132"/>
    <s v="04-Oct-2024"/>
    <s v="C120"/>
    <s v="P206"/>
    <n v="3"/>
    <x v="1"/>
    <x v="0"/>
    <n v="25000"/>
    <x v="11"/>
    <n v="75000"/>
    <s v="Nitin Joshi"/>
    <x v="0"/>
  </r>
  <r>
    <n v="1133"/>
    <s v="19-Mar-2024"/>
    <s v="C177"/>
    <s v="P202"/>
    <n v="5"/>
    <x v="2"/>
    <x v="2"/>
    <n v="20000"/>
    <x v="4"/>
    <n v="100000"/>
    <s v="Komal Gupta"/>
    <x v="7"/>
  </r>
  <r>
    <n v="1134"/>
    <s v="24-Jan-2024"/>
    <s v="C179"/>
    <s v="P202"/>
    <n v="3"/>
    <x v="7"/>
    <x v="2"/>
    <n v="20000"/>
    <x v="1"/>
    <n v="60000"/>
    <s v="Meera Kulkarni"/>
    <x v="7"/>
  </r>
  <r>
    <n v="1135"/>
    <s v="18-Aug-2024"/>
    <s v="C168"/>
    <s v="P209"/>
    <n v="5"/>
    <x v="2"/>
    <x v="1"/>
    <n v="1800"/>
    <x v="7"/>
    <n v="9000"/>
    <s v="Pooja Jain"/>
    <x v="2"/>
  </r>
  <r>
    <n v="1136"/>
    <s v="29-Sep-2024"/>
    <s v="C154"/>
    <s v="P208"/>
    <n v="4"/>
    <x v="3"/>
    <x v="1"/>
    <n v="2500"/>
    <x v="9"/>
    <n v="10000"/>
    <s v="Manav Arora"/>
    <x v="1"/>
  </r>
  <r>
    <n v="1137"/>
    <s v="07-Mar-2024"/>
    <s v="C110"/>
    <s v="P207"/>
    <n v="2"/>
    <x v="0"/>
    <x v="1"/>
    <n v="1500"/>
    <x v="4"/>
    <n v="3000"/>
    <s v="Arjun Malhotra"/>
    <x v="6"/>
  </r>
  <r>
    <n v="1138"/>
    <s v="09-Jul-2024"/>
    <s v="C171"/>
    <s v="P203"/>
    <n v="2"/>
    <x v="8"/>
    <x v="2"/>
    <n v="15000"/>
    <x v="6"/>
    <n v="30000"/>
    <s v="Rahul Sharma"/>
    <x v="3"/>
  </r>
  <r>
    <n v="1139"/>
    <s v="18-Sep-2024"/>
    <s v="C172"/>
    <s v="P207"/>
    <n v="2"/>
    <x v="1"/>
    <x v="1"/>
    <n v="1500"/>
    <x v="9"/>
    <n v="3000"/>
    <s v="Manav Arora"/>
    <x v="6"/>
  </r>
  <r>
    <n v="1140"/>
    <s v="04-Jun-2024"/>
    <s v="C197"/>
    <s v="P202"/>
    <n v="4"/>
    <x v="8"/>
    <x v="2"/>
    <n v="20000"/>
    <x v="8"/>
    <n v="80000"/>
    <s v="Neha Singh"/>
    <x v="7"/>
  </r>
  <r>
    <n v="1141"/>
    <s v="31-May-2024"/>
    <s v="C137"/>
    <s v="P210"/>
    <n v="3"/>
    <x v="0"/>
    <x v="1"/>
    <n v="3500"/>
    <x v="3"/>
    <n v="10500"/>
    <s v="Sejal Shah"/>
    <x v="4"/>
  </r>
  <r>
    <n v="1142"/>
    <s v="05-Mar-2024"/>
    <s v="C127"/>
    <s v="P210"/>
    <n v="2"/>
    <x v="8"/>
    <x v="1"/>
    <n v="3500"/>
    <x v="4"/>
    <n v="7000"/>
    <s v="Ravi Patel"/>
    <x v="4"/>
  </r>
  <r>
    <n v="1143"/>
    <s v="03-Jul-2024"/>
    <s v="C185"/>
    <s v="P208"/>
    <n v="3"/>
    <x v="5"/>
    <x v="1"/>
    <n v="2500"/>
    <x v="6"/>
    <n v="7500"/>
    <s v="Tanya Sethi"/>
    <x v="1"/>
  </r>
  <r>
    <n v="1144"/>
    <s v="01-Nov-2024"/>
    <s v="C108"/>
    <s v="P201"/>
    <n v="2"/>
    <x v="2"/>
    <x v="2"/>
    <n v="50000"/>
    <x v="0"/>
    <n v="100000"/>
    <s v="Komal Gupta"/>
    <x v="8"/>
  </r>
  <r>
    <n v="1145"/>
    <s v="30-Jan-2024"/>
    <s v="C125"/>
    <s v="P204"/>
    <n v="4"/>
    <x v="2"/>
    <x v="0"/>
    <n v="3000"/>
    <x v="1"/>
    <n v="12000"/>
    <s v="Tanya Sethi"/>
    <x v="5"/>
  </r>
  <r>
    <n v="1146"/>
    <s v="20-Jan-2024"/>
    <s v="C186"/>
    <s v="P203"/>
    <n v="5"/>
    <x v="6"/>
    <x v="2"/>
    <n v="15000"/>
    <x v="1"/>
    <n v="75000"/>
    <s v="Riya Das"/>
    <x v="3"/>
  </r>
  <r>
    <n v="1147"/>
    <s v="02-May-2024"/>
    <s v="C160"/>
    <s v="P202"/>
    <n v="4"/>
    <x v="3"/>
    <x v="2"/>
    <n v="20000"/>
    <x v="3"/>
    <n v="80000"/>
    <s v="Karan Mehta"/>
    <x v="7"/>
  </r>
  <r>
    <n v="1148"/>
    <s v="02-Jan-2024"/>
    <s v="C133"/>
    <s v="P204"/>
    <n v="4"/>
    <x v="7"/>
    <x v="0"/>
    <n v="3000"/>
    <x v="1"/>
    <n v="12000"/>
    <s v="Rahul Sharma"/>
    <x v="5"/>
  </r>
  <r>
    <n v="1149"/>
    <s v="19-Aug-2024"/>
    <s v="C149"/>
    <s v="P209"/>
    <n v="5"/>
    <x v="1"/>
    <x v="1"/>
    <n v="1800"/>
    <x v="7"/>
    <n v="9000"/>
    <s v="Rahul Sharma"/>
    <x v="2"/>
  </r>
  <r>
    <n v="1150"/>
    <s v="07-Sep-2024"/>
    <s v="C169"/>
    <s v="P209"/>
    <n v="2"/>
    <x v="4"/>
    <x v="1"/>
    <n v="1800"/>
    <x v="9"/>
    <n v="3600"/>
    <s v="Rohit Sen"/>
    <x v="2"/>
  </r>
  <r>
    <n v="1151"/>
    <s v="02-Mar-2024"/>
    <s v="C180"/>
    <s v="P203"/>
    <n v="3"/>
    <x v="7"/>
    <x v="2"/>
    <n v="15000"/>
    <x v="4"/>
    <n v="45000"/>
    <s v="Sneha Iyer"/>
    <x v="3"/>
  </r>
  <r>
    <n v="1152"/>
    <s v="24-Mar-2024"/>
    <s v="C175"/>
    <s v="P204"/>
    <n v="4"/>
    <x v="2"/>
    <x v="0"/>
    <n v="3000"/>
    <x v="4"/>
    <n v="12000"/>
    <s v="Meera Kulkarni"/>
    <x v="5"/>
  </r>
  <r>
    <n v="1153"/>
    <s v="02-Aug-2024"/>
    <s v="C134"/>
    <s v="P208"/>
    <n v="5"/>
    <x v="7"/>
    <x v="1"/>
    <n v="2500"/>
    <x v="7"/>
    <n v="12500"/>
    <s v="Ravi Patel"/>
    <x v="1"/>
  </r>
  <r>
    <n v="1154"/>
    <s v="07-Jun-2024"/>
    <s v="C134"/>
    <s v="P209"/>
    <n v="3"/>
    <x v="7"/>
    <x v="1"/>
    <n v="1800"/>
    <x v="8"/>
    <n v="5400"/>
    <s v="Ravi Patel"/>
    <x v="2"/>
  </r>
  <r>
    <n v="1155"/>
    <s v="02-Nov-2024"/>
    <s v="C124"/>
    <s v="P202"/>
    <n v="1"/>
    <x v="3"/>
    <x v="2"/>
    <n v="20000"/>
    <x v="0"/>
    <n v="20000"/>
    <s v="Rahul Sharma"/>
    <x v="7"/>
  </r>
  <r>
    <n v="1156"/>
    <s v="09-Mar-2024"/>
    <s v="C167"/>
    <s v="P202"/>
    <n v="5"/>
    <x v="5"/>
    <x v="2"/>
    <n v="20000"/>
    <x v="4"/>
    <n v="100000"/>
    <s v="Rohit Sen"/>
    <x v="7"/>
  </r>
  <r>
    <n v="1157"/>
    <s v="13-Jul-2024"/>
    <s v="C150"/>
    <s v="P210"/>
    <n v="4"/>
    <x v="5"/>
    <x v="1"/>
    <n v="3500"/>
    <x v="6"/>
    <n v="14000"/>
    <s v="Arjun Malhotra"/>
    <x v="4"/>
  </r>
  <r>
    <n v="1158"/>
    <s v="16-Nov-2024"/>
    <s v="C186"/>
    <s v="P209"/>
    <n v="4"/>
    <x v="6"/>
    <x v="1"/>
    <n v="1800"/>
    <x v="0"/>
    <n v="7200"/>
    <s v="Riya Das"/>
    <x v="2"/>
  </r>
  <r>
    <n v="1159"/>
    <s v="29-Jan-2024"/>
    <s v="C136"/>
    <s v="P208"/>
    <n v="2"/>
    <x v="6"/>
    <x v="1"/>
    <n v="2500"/>
    <x v="1"/>
    <n v="5000"/>
    <s v="Sneha Iyer"/>
    <x v="1"/>
  </r>
  <r>
    <n v="1160"/>
    <s v="23-Jul-2024"/>
    <s v="C179"/>
    <s v="P209"/>
    <n v="3"/>
    <x v="7"/>
    <x v="1"/>
    <n v="1800"/>
    <x v="6"/>
    <n v="5400"/>
    <s v="Meera Kulkarni"/>
    <x v="2"/>
  </r>
  <r>
    <n v="1161"/>
    <s v="21-Dec-2024"/>
    <s v="C129"/>
    <s v="P205"/>
    <n v="3"/>
    <x v="2"/>
    <x v="0"/>
    <n v="7000"/>
    <x v="2"/>
    <n v="21000"/>
    <s v="Karan Mehta"/>
    <x v="9"/>
  </r>
  <r>
    <n v="1162"/>
    <s v="02-Jan-2024"/>
    <s v="C133"/>
    <s v="P210"/>
    <n v="4"/>
    <x v="7"/>
    <x v="1"/>
    <n v="3500"/>
    <x v="1"/>
    <n v="14000"/>
    <s v="Rahul Sharma"/>
    <x v="4"/>
  </r>
  <r>
    <n v="1163"/>
    <s v="01-Oct-2024"/>
    <s v="C110"/>
    <s v="P207"/>
    <n v="3"/>
    <x v="0"/>
    <x v="1"/>
    <n v="1500"/>
    <x v="11"/>
    <n v="4500"/>
    <s v="Arjun Malhotra"/>
    <x v="6"/>
  </r>
  <r>
    <n v="1164"/>
    <s v="12-Jun-2024"/>
    <s v="C163"/>
    <s v="P203"/>
    <n v="1"/>
    <x v="1"/>
    <x v="2"/>
    <n v="15000"/>
    <x v="8"/>
    <n v="15000"/>
    <s v="Ankit Roy"/>
    <x v="3"/>
  </r>
  <r>
    <n v="1165"/>
    <s v="16-Feb-2024"/>
    <s v="C138"/>
    <s v="P207"/>
    <n v="5"/>
    <x v="3"/>
    <x v="1"/>
    <n v="1500"/>
    <x v="10"/>
    <n v="7500"/>
    <s v="Nitin Joshi"/>
    <x v="6"/>
  </r>
  <r>
    <n v="1166"/>
    <s v="01-Jan-2024"/>
    <s v="C199"/>
    <s v="P204"/>
    <n v="4"/>
    <x v="2"/>
    <x v="0"/>
    <n v="3000"/>
    <x v="1"/>
    <n v="12000"/>
    <s v="Priya Kapoor"/>
    <x v="5"/>
  </r>
  <r>
    <n v="1167"/>
    <s v="22-Jan-2024"/>
    <s v="C135"/>
    <s v="P210"/>
    <n v="4"/>
    <x v="7"/>
    <x v="1"/>
    <n v="3500"/>
    <x v="1"/>
    <n v="14000"/>
    <s v="Vikas Nair"/>
    <x v="4"/>
  </r>
  <r>
    <n v="1168"/>
    <s v="21-Jan-2024"/>
    <s v="C119"/>
    <s v="P202"/>
    <n v="1"/>
    <x v="0"/>
    <x v="2"/>
    <n v="20000"/>
    <x v="1"/>
    <n v="20000"/>
    <s v="Ankit Roy"/>
    <x v="7"/>
  </r>
  <r>
    <n v="1169"/>
    <s v="24-Oct-2024"/>
    <s v="C155"/>
    <s v="P206"/>
    <n v="2"/>
    <x v="7"/>
    <x v="0"/>
    <n v="25000"/>
    <x v="11"/>
    <n v="50000"/>
    <s v="Manav Arora"/>
    <x v="0"/>
  </r>
  <r>
    <n v="1170"/>
    <s v="26-Apr-2024"/>
    <s v="C138"/>
    <s v="P209"/>
    <n v="4"/>
    <x v="3"/>
    <x v="1"/>
    <n v="1800"/>
    <x v="5"/>
    <n v="7200"/>
    <s v="Nitin Joshi"/>
    <x v="2"/>
  </r>
  <r>
    <n v="1171"/>
    <s v="07-Feb-2024"/>
    <s v="C133"/>
    <s v="P210"/>
    <n v="4"/>
    <x v="7"/>
    <x v="1"/>
    <n v="3500"/>
    <x v="10"/>
    <n v="14000"/>
    <s v="Rahul Sharma"/>
    <x v="4"/>
  </r>
  <r>
    <n v="1172"/>
    <s v="12-Nov-2024"/>
    <s v="C148"/>
    <s v="P210"/>
    <n v="1"/>
    <x v="0"/>
    <x v="1"/>
    <n v="3500"/>
    <x v="0"/>
    <n v="3500"/>
    <s v="Priya Kapoor"/>
    <x v="4"/>
  </r>
  <r>
    <n v="1173"/>
    <s v="23-Jan-2024"/>
    <s v="C104"/>
    <s v="P209"/>
    <n v="4"/>
    <x v="8"/>
    <x v="1"/>
    <n v="1800"/>
    <x v="1"/>
    <n v="7200"/>
    <s v="Sneha Iyer"/>
    <x v="2"/>
  </r>
  <r>
    <n v="1174"/>
    <s v="10-Apr-2024"/>
    <s v="C117"/>
    <s v="P202"/>
    <n v="1"/>
    <x v="1"/>
    <x v="2"/>
    <n v="20000"/>
    <x v="5"/>
    <n v="20000"/>
    <s v="Priya Kapoor"/>
    <x v="7"/>
  </r>
  <r>
    <n v="1175"/>
    <s v="11-Jul-2024"/>
    <s v="C132"/>
    <s v="P207"/>
    <n v="4"/>
    <x v="7"/>
    <x v="1"/>
    <n v="1500"/>
    <x v="6"/>
    <n v="6000"/>
    <s v="Amit Verma"/>
    <x v="6"/>
  </r>
  <r>
    <n v="1176"/>
    <s v="26-Oct-2024"/>
    <s v="C158"/>
    <s v="P204"/>
    <n v="3"/>
    <x v="7"/>
    <x v="0"/>
    <n v="3000"/>
    <x v="11"/>
    <n v="9000"/>
    <s v="Rahul Sharma"/>
    <x v="5"/>
  </r>
  <r>
    <n v="1177"/>
    <s v="21-Aug-2024"/>
    <s v="C147"/>
    <s v="P203"/>
    <n v="4"/>
    <x v="0"/>
    <x v="2"/>
    <n v="15000"/>
    <x v="7"/>
    <n v="60000"/>
    <s v="Riya Das"/>
    <x v="3"/>
  </r>
  <r>
    <n v="1178"/>
    <s v="03-May-2024"/>
    <s v="C196"/>
    <s v="P203"/>
    <n v="1"/>
    <x v="7"/>
    <x v="2"/>
    <n v="15000"/>
    <x v="3"/>
    <n v="15000"/>
    <s v="Neha Singh"/>
    <x v="3"/>
  </r>
  <r>
    <n v="1179"/>
    <s v="17-Jun-2024"/>
    <s v="C159"/>
    <s v="P209"/>
    <n v="2"/>
    <x v="2"/>
    <x v="1"/>
    <n v="1800"/>
    <x v="8"/>
    <n v="3600"/>
    <s v="Priya Kapoor"/>
    <x v="2"/>
  </r>
  <r>
    <n v="1180"/>
    <s v="16-Feb-2024"/>
    <s v="C120"/>
    <s v="P203"/>
    <n v="5"/>
    <x v="1"/>
    <x v="2"/>
    <n v="15000"/>
    <x v="10"/>
    <n v="75000"/>
    <s v="Nitin Joshi"/>
    <x v="3"/>
  </r>
  <r>
    <n v="1181"/>
    <s v="09-May-2024"/>
    <s v="C113"/>
    <s v="P206"/>
    <n v="4"/>
    <x v="0"/>
    <x v="0"/>
    <n v="25000"/>
    <x v="3"/>
    <n v="100000"/>
    <s v="Priya Kapoor"/>
    <x v="0"/>
  </r>
  <r>
    <n v="1182"/>
    <s v="05-Apr-2024"/>
    <s v="C176"/>
    <s v="P207"/>
    <n v="5"/>
    <x v="1"/>
    <x v="1"/>
    <n v="1500"/>
    <x v="5"/>
    <n v="7500"/>
    <s v="Priya Kapoor"/>
    <x v="6"/>
  </r>
  <r>
    <n v="1183"/>
    <s v="18-Feb-2024"/>
    <s v="C178"/>
    <s v="P209"/>
    <n v="5"/>
    <x v="3"/>
    <x v="1"/>
    <n v="1800"/>
    <x v="10"/>
    <n v="9000"/>
    <s v="Nitin Joshi"/>
    <x v="2"/>
  </r>
  <r>
    <n v="1184"/>
    <s v="11-Apr-2024"/>
    <s v="C173"/>
    <s v="P208"/>
    <n v="4"/>
    <x v="2"/>
    <x v="1"/>
    <n v="2500"/>
    <x v="5"/>
    <n v="10000"/>
    <s v="Neha Singh"/>
    <x v="1"/>
  </r>
  <r>
    <n v="1185"/>
    <s v="19-Dec-2024"/>
    <s v="C138"/>
    <s v="P203"/>
    <n v="5"/>
    <x v="3"/>
    <x v="2"/>
    <n v="15000"/>
    <x v="2"/>
    <n v="75000"/>
    <s v="Nitin Joshi"/>
    <x v="3"/>
  </r>
  <r>
    <n v="1186"/>
    <s v="03-Mar-2024"/>
    <s v="C200"/>
    <s v="P207"/>
    <n v="5"/>
    <x v="9"/>
    <x v="1"/>
    <n v="1500"/>
    <x v="4"/>
    <n v="7500"/>
    <s v="Ravi Patel"/>
    <x v="6"/>
  </r>
  <r>
    <n v="1187"/>
    <s v="11-Jun-2024"/>
    <s v="C112"/>
    <s v="P204"/>
    <n v="5"/>
    <x v="2"/>
    <x v="0"/>
    <n v="3000"/>
    <x v="8"/>
    <n v="15000"/>
    <s v="Karan Mehta"/>
    <x v="5"/>
  </r>
  <r>
    <n v="1188"/>
    <s v="31-Oct-2024"/>
    <s v="C180"/>
    <s v="P209"/>
    <n v="3"/>
    <x v="7"/>
    <x v="1"/>
    <n v="1800"/>
    <x v="11"/>
    <n v="5400"/>
    <s v="Sneha Iyer"/>
    <x v="2"/>
  </r>
  <r>
    <n v="1189"/>
    <s v="01-Jul-2024"/>
    <s v="C196"/>
    <s v="P202"/>
    <n v="5"/>
    <x v="7"/>
    <x v="2"/>
    <n v="20000"/>
    <x v="6"/>
    <n v="100000"/>
    <s v="Neha Singh"/>
    <x v="7"/>
  </r>
  <r>
    <n v="1190"/>
    <s v="12-Jul-2024"/>
    <s v="C165"/>
    <s v="P205"/>
    <n v="4"/>
    <x v="6"/>
    <x v="0"/>
    <n v="7000"/>
    <x v="6"/>
    <n v="28000"/>
    <s v="Arjun Malhotra"/>
    <x v="9"/>
  </r>
  <r>
    <n v="1191"/>
    <s v="26-Jul-2024"/>
    <s v="C142"/>
    <s v="P204"/>
    <n v="1"/>
    <x v="3"/>
    <x v="0"/>
    <n v="3000"/>
    <x v="6"/>
    <n v="3000"/>
    <s v="Neha Singh"/>
    <x v="5"/>
  </r>
  <r>
    <n v="1192"/>
    <s v="07-Apr-2024"/>
    <s v="C116"/>
    <s v="P205"/>
    <n v="2"/>
    <x v="5"/>
    <x v="0"/>
    <n v="7000"/>
    <x v="5"/>
    <n v="14000"/>
    <s v="Tanya Sethi"/>
    <x v="9"/>
  </r>
  <r>
    <n v="1193"/>
    <s v="31-Mar-2024"/>
    <s v="C115"/>
    <s v="P201"/>
    <n v="5"/>
    <x v="7"/>
    <x v="2"/>
    <n v="50000"/>
    <x v="4"/>
    <n v="250000"/>
    <s v="Karan Mehta"/>
    <x v="8"/>
  </r>
  <r>
    <n v="1194"/>
    <s v="24-Jul-2024"/>
    <s v="C169"/>
    <s v="P206"/>
    <n v="5"/>
    <x v="4"/>
    <x v="0"/>
    <n v="25000"/>
    <x v="6"/>
    <n v="125000"/>
    <s v="Rohit Sen"/>
    <x v="0"/>
  </r>
  <r>
    <n v="1195"/>
    <s v="26-May-2024"/>
    <s v="C120"/>
    <s v="P210"/>
    <n v="2"/>
    <x v="1"/>
    <x v="1"/>
    <n v="3500"/>
    <x v="3"/>
    <n v="7000"/>
    <s v="Nitin Joshi"/>
    <x v="4"/>
  </r>
  <r>
    <n v="1196"/>
    <s v="19-Jul-2024"/>
    <s v="C169"/>
    <s v="P201"/>
    <n v="5"/>
    <x v="4"/>
    <x v="2"/>
    <n v="50000"/>
    <x v="6"/>
    <n v="250000"/>
    <s v="Rohit Sen"/>
    <x v="8"/>
  </r>
  <r>
    <n v="1197"/>
    <s v="30-May-2024"/>
    <s v="C200"/>
    <s v="P205"/>
    <n v="4"/>
    <x v="9"/>
    <x v="0"/>
    <n v="7000"/>
    <x v="3"/>
    <n v="28000"/>
    <s v="Ravi Patel"/>
    <x v="9"/>
  </r>
  <r>
    <n v="1198"/>
    <s v="17-Jul-2024"/>
    <s v="C139"/>
    <s v="P206"/>
    <n v="4"/>
    <x v="4"/>
    <x v="0"/>
    <n v="25000"/>
    <x v="6"/>
    <n v="100000"/>
    <s v="Arjun Malhotra"/>
    <x v="0"/>
  </r>
  <r>
    <n v="1199"/>
    <s v="04-Nov-2024"/>
    <s v="C196"/>
    <s v="P210"/>
    <n v="3"/>
    <x v="7"/>
    <x v="1"/>
    <n v="3500"/>
    <x v="0"/>
    <n v="10500"/>
    <s v="Neha Singh"/>
    <x v="4"/>
  </r>
  <r>
    <n v="1200"/>
    <s v="15-Nov-2024"/>
    <s v="C181"/>
    <s v="P205"/>
    <n v="4"/>
    <x v="1"/>
    <x v="0"/>
    <n v="7000"/>
    <x v="0"/>
    <n v="28000"/>
    <s v="Manav Arora"/>
    <x v="9"/>
  </r>
  <r>
    <n v="1201"/>
    <s v="19-Oct-2024"/>
    <s v="C156"/>
    <s v="P209"/>
    <n v="5"/>
    <x v="4"/>
    <x v="1"/>
    <n v="1800"/>
    <x v="11"/>
    <n v="9000"/>
    <s v="Sejal Shah"/>
    <x v="2"/>
  </r>
  <r>
    <n v="1202"/>
    <s v="19-May-2024"/>
    <s v="C177"/>
    <s v="P201"/>
    <n v="1"/>
    <x v="2"/>
    <x v="2"/>
    <n v="50000"/>
    <x v="3"/>
    <n v="50000"/>
    <s v="Komal Gupta"/>
    <x v="8"/>
  </r>
  <r>
    <n v="1203"/>
    <s v="11-Jul-2024"/>
    <s v="C159"/>
    <s v="P205"/>
    <n v="4"/>
    <x v="2"/>
    <x v="0"/>
    <n v="7000"/>
    <x v="6"/>
    <n v="28000"/>
    <s v="Priya Kapoor"/>
    <x v="9"/>
  </r>
  <r>
    <n v="1204"/>
    <s v="23-Mar-2024"/>
    <s v="C114"/>
    <s v="P210"/>
    <n v="5"/>
    <x v="5"/>
    <x v="1"/>
    <n v="3500"/>
    <x v="4"/>
    <n v="17500"/>
    <s v="Manav Arora"/>
    <x v="4"/>
  </r>
  <r>
    <n v="1205"/>
    <s v="04-Feb-2024"/>
    <s v="C145"/>
    <s v="P205"/>
    <n v="4"/>
    <x v="1"/>
    <x v="0"/>
    <n v="7000"/>
    <x v="10"/>
    <n v="28000"/>
    <s v="Nitin Joshi"/>
    <x v="9"/>
  </r>
  <r>
    <n v="1206"/>
    <s v="06-Jun-2024"/>
    <s v="C185"/>
    <s v="P202"/>
    <n v="4"/>
    <x v="5"/>
    <x v="2"/>
    <n v="20000"/>
    <x v="8"/>
    <n v="80000"/>
    <s v="Tanya Sethi"/>
    <x v="7"/>
  </r>
  <r>
    <n v="1207"/>
    <s v="26-Feb-2024"/>
    <s v="C196"/>
    <s v="P205"/>
    <n v="5"/>
    <x v="7"/>
    <x v="0"/>
    <n v="7000"/>
    <x v="10"/>
    <n v="35000"/>
    <s v="Neha Singh"/>
    <x v="9"/>
  </r>
  <r>
    <n v="1208"/>
    <s v="04-Jun-2024"/>
    <s v="C122"/>
    <s v="P205"/>
    <n v="4"/>
    <x v="3"/>
    <x v="0"/>
    <n v="7000"/>
    <x v="8"/>
    <n v="28000"/>
    <s v="Amit Verma"/>
    <x v="9"/>
  </r>
  <r>
    <n v="1209"/>
    <s v="29-Jan-2024"/>
    <s v="C181"/>
    <s v="P204"/>
    <n v="4"/>
    <x v="1"/>
    <x v="0"/>
    <n v="3000"/>
    <x v="1"/>
    <n v="12000"/>
    <s v="Manav Arora"/>
    <x v="5"/>
  </r>
  <r>
    <n v="1210"/>
    <s v="28-Nov-2024"/>
    <s v="C174"/>
    <s v="P206"/>
    <n v="1"/>
    <x v="0"/>
    <x v="0"/>
    <n v="25000"/>
    <x v="0"/>
    <n v="25000"/>
    <s v="Amit Verma"/>
    <x v="0"/>
  </r>
  <r>
    <n v="1211"/>
    <s v="29-Aug-2024"/>
    <s v="C148"/>
    <s v="P210"/>
    <n v="2"/>
    <x v="0"/>
    <x v="1"/>
    <n v="3500"/>
    <x v="7"/>
    <n v="7000"/>
    <s v="Priya Kapoor"/>
    <x v="4"/>
  </r>
  <r>
    <n v="1212"/>
    <s v="22-Jan-2024"/>
    <s v="C161"/>
    <s v="P209"/>
    <n v="2"/>
    <x v="9"/>
    <x v="1"/>
    <n v="1800"/>
    <x v="1"/>
    <n v="3600"/>
    <s v="Karan Mehta"/>
    <x v="2"/>
  </r>
  <r>
    <n v="1213"/>
    <s v="26-Mar-2024"/>
    <s v="C169"/>
    <s v="P201"/>
    <n v="3"/>
    <x v="4"/>
    <x v="2"/>
    <n v="50000"/>
    <x v="4"/>
    <n v="150000"/>
    <s v="Rohit Sen"/>
    <x v="8"/>
  </r>
  <r>
    <n v="1214"/>
    <s v="27-Sep-2024"/>
    <s v="C150"/>
    <s v="P202"/>
    <n v="2"/>
    <x v="5"/>
    <x v="2"/>
    <n v="20000"/>
    <x v="9"/>
    <n v="40000"/>
    <s v="Arjun Malhotra"/>
    <x v="7"/>
  </r>
  <r>
    <n v="1215"/>
    <s v="08-Jul-2024"/>
    <s v="C150"/>
    <s v="P210"/>
    <n v="1"/>
    <x v="5"/>
    <x v="1"/>
    <n v="3500"/>
    <x v="6"/>
    <n v="3500"/>
    <s v="Arjun Malhotra"/>
    <x v="4"/>
  </r>
  <r>
    <n v="1216"/>
    <s v="16-Jan-2024"/>
    <s v="C113"/>
    <s v="P202"/>
    <n v="1"/>
    <x v="0"/>
    <x v="2"/>
    <n v="20000"/>
    <x v="1"/>
    <n v="20000"/>
    <s v="Priya Kapoor"/>
    <x v="7"/>
  </r>
  <r>
    <n v="1217"/>
    <s v="07-Oct-2024"/>
    <s v="C181"/>
    <s v="P209"/>
    <n v="4"/>
    <x v="1"/>
    <x v="1"/>
    <n v="1800"/>
    <x v="11"/>
    <n v="7200"/>
    <s v="Manav Arora"/>
    <x v="2"/>
  </r>
  <r>
    <n v="1218"/>
    <s v="24-Jan-2024"/>
    <s v="C184"/>
    <s v="P208"/>
    <n v="3"/>
    <x v="5"/>
    <x v="1"/>
    <n v="2500"/>
    <x v="1"/>
    <n v="7500"/>
    <s v="Tanya Sethi"/>
    <x v="1"/>
  </r>
  <r>
    <n v="1219"/>
    <s v="11-Aug-2024"/>
    <s v="C144"/>
    <s v="P208"/>
    <n v="1"/>
    <x v="4"/>
    <x v="1"/>
    <n v="2500"/>
    <x v="7"/>
    <n v="2500"/>
    <s v="Rahul Sharma"/>
    <x v="1"/>
  </r>
  <r>
    <n v="1220"/>
    <s v="09-Jan-2024"/>
    <s v="C131"/>
    <s v="P202"/>
    <n v="4"/>
    <x v="2"/>
    <x v="2"/>
    <n v="20000"/>
    <x v="1"/>
    <n v="80000"/>
    <s v="Rohit Sen"/>
    <x v="7"/>
  </r>
  <r>
    <n v="1221"/>
    <s v="14-Jun-2024"/>
    <s v="C133"/>
    <s v="P210"/>
    <n v="2"/>
    <x v="7"/>
    <x v="1"/>
    <n v="3500"/>
    <x v="8"/>
    <n v="7000"/>
    <s v="Rahul Sharma"/>
    <x v="4"/>
  </r>
  <r>
    <n v="1222"/>
    <s v="27-Jun-2024"/>
    <s v="C130"/>
    <s v="P205"/>
    <n v="1"/>
    <x v="9"/>
    <x v="0"/>
    <n v="7000"/>
    <x v="8"/>
    <n v="7000"/>
    <s v="Manav Arora"/>
    <x v="9"/>
  </r>
  <r>
    <n v="1223"/>
    <s v="22-Jun-2024"/>
    <s v="C126"/>
    <s v="P201"/>
    <n v="2"/>
    <x v="8"/>
    <x v="2"/>
    <n v="50000"/>
    <x v="8"/>
    <n v="100000"/>
    <s v="Sneha Iyer"/>
    <x v="8"/>
  </r>
  <r>
    <n v="1224"/>
    <s v="29-Oct-2024"/>
    <s v="C160"/>
    <s v="P205"/>
    <n v="3"/>
    <x v="3"/>
    <x v="0"/>
    <n v="7000"/>
    <x v="11"/>
    <n v="21000"/>
    <s v="Karan Mehta"/>
    <x v="9"/>
  </r>
  <r>
    <n v="1225"/>
    <s v="10-May-2024"/>
    <s v="C159"/>
    <s v="P202"/>
    <n v="3"/>
    <x v="2"/>
    <x v="2"/>
    <n v="20000"/>
    <x v="3"/>
    <n v="60000"/>
    <s v="Priya Kapoor"/>
    <x v="7"/>
  </r>
  <r>
    <n v="1226"/>
    <s v="10-Nov-2024"/>
    <s v="C121"/>
    <s v="P205"/>
    <n v="5"/>
    <x v="2"/>
    <x v="0"/>
    <n v="7000"/>
    <x v="0"/>
    <n v="35000"/>
    <s v="Manav Arora"/>
    <x v="9"/>
  </r>
  <r>
    <n v="1227"/>
    <s v="16-Feb-2024"/>
    <s v="C184"/>
    <s v="P210"/>
    <n v="3"/>
    <x v="5"/>
    <x v="1"/>
    <n v="3500"/>
    <x v="10"/>
    <n v="10500"/>
    <s v="Tanya Sethi"/>
    <x v="4"/>
  </r>
  <r>
    <n v="1228"/>
    <s v="27-Mar-2024"/>
    <s v="C112"/>
    <s v="P209"/>
    <n v="1"/>
    <x v="2"/>
    <x v="1"/>
    <n v="1800"/>
    <x v="4"/>
    <n v="1800"/>
    <s v="Karan Mehta"/>
    <x v="2"/>
  </r>
  <r>
    <n v="1229"/>
    <s v="28-Jun-2024"/>
    <s v="C147"/>
    <s v="P204"/>
    <n v="3"/>
    <x v="0"/>
    <x v="0"/>
    <n v="3000"/>
    <x v="8"/>
    <n v="9000"/>
    <s v="Riya Das"/>
    <x v="5"/>
  </r>
  <r>
    <n v="1230"/>
    <s v="13-Apr-2024"/>
    <s v="C141"/>
    <s v="P204"/>
    <n v="4"/>
    <x v="7"/>
    <x v="0"/>
    <n v="3000"/>
    <x v="5"/>
    <n v="12000"/>
    <s v="Amit Verma"/>
    <x v="5"/>
  </r>
  <r>
    <n v="1231"/>
    <s v="29-Jun-2024"/>
    <s v="C150"/>
    <s v="P205"/>
    <n v="3"/>
    <x v="5"/>
    <x v="0"/>
    <n v="7000"/>
    <x v="8"/>
    <n v="21000"/>
    <s v="Arjun Malhotra"/>
    <x v="9"/>
  </r>
  <r>
    <n v="1232"/>
    <s v="18-Aug-2024"/>
    <s v="C152"/>
    <s v="P201"/>
    <n v="4"/>
    <x v="6"/>
    <x v="2"/>
    <n v="50000"/>
    <x v="7"/>
    <n v="200000"/>
    <s v="Priya Kapoor"/>
    <x v="8"/>
  </r>
  <r>
    <n v="1233"/>
    <s v="18-Nov-2024"/>
    <s v="C186"/>
    <s v="P204"/>
    <n v="4"/>
    <x v="6"/>
    <x v="0"/>
    <n v="3000"/>
    <x v="0"/>
    <n v="12000"/>
    <s v="Riya Das"/>
    <x v="5"/>
  </r>
  <r>
    <n v="1234"/>
    <s v="12-Feb-2024"/>
    <s v="C178"/>
    <s v="P208"/>
    <n v="2"/>
    <x v="3"/>
    <x v="1"/>
    <n v="2500"/>
    <x v="10"/>
    <n v="5000"/>
    <s v="Nitin Joshi"/>
    <x v="1"/>
  </r>
  <r>
    <n v="1235"/>
    <s v="08-Jul-2024"/>
    <s v="C185"/>
    <s v="P202"/>
    <n v="1"/>
    <x v="5"/>
    <x v="2"/>
    <n v="20000"/>
    <x v="6"/>
    <n v="20000"/>
    <s v="Tanya Sethi"/>
    <x v="7"/>
  </r>
  <r>
    <n v="1236"/>
    <s v="08-Jul-2024"/>
    <s v="C160"/>
    <s v="P209"/>
    <n v="2"/>
    <x v="3"/>
    <x v="1"/>
    <n v="1800"/>
    <x v="6"/>
    <n v="3600"/>
    <s v="Karan Mehta"/>
    <x v="2"/>
  </r>
  <r>
    <n v="1237"/>
    <s v="27-Apr-2024"/>
    <s v="C197"/>
    <s v="P209"/>
    <n v="5"/>
    <x v="8"/>
    <x v="1"/>
    <n v="1800"/>
    <x v="5"/>
    <n v="9000"/>
    <s v="Neha Singh"/>
    <x v="2"/>
  </r>
  <r>
    <n v="1238"/>
    <s v="03-Aug-2024"/>
    <s v="C135"/>
    <s v="P209"/>
    <n v="5"/>
    <x v="7"/>
    <x v="1"/>
    <n v="1800"/>
    <x v="7"/>
    <n v="9000"/>
    <s v="Vikas Nair"/>
    <x v="2"/>
  </r>
  <r>
    <n v="1239"/>
    <s v="20-Aug-2024"/>
    <s v="C194"/>
    <s v="P208"/>
    <n v="1"/>
    <x v="3"/>
    <x v="1"/>
    <n v="2500"/>
    <x v="7"/>
    <n v="2500"/>
    <s v="Sejal Shah"/>
    <x v="1"/>
  </r>
  <r>
    <n v="1240"/>
    <s v="04-Jul-2024"/>
    <s v="C120"/>
    <s v="P203"/>
    <n v="5"/>
    <x v="1"/>
    <x v="2"/>
    <n v="15000"/>
    <x v="6"/>
    <n v="75000"/>
    <s v="Nitin Joshi"/>
    <x v="3"/>
  </r>
  <r>
    <n v="1241"/>
    <s v="17-Feb-2024"/>
    <s v="C164"/>
    <s v="P208"/>
    <n v="2"/>
    <x v="7"/>
    <x v="1"/>
    <n v="2500"/>
    <x v="10"/>
    <n v="5000"/>
    <s v="Tanya Sethi"/>
    <x v="1"/>
  </r>
  <r>
    <n v="1242"/>
    <s v="29-Dec-2024"/>
    <s v="C131"/>
    <s v="P207"/>
    <n v="1"/>
    <x v="2"/>
    <x v="1"/>
    <n v="1500"/>
    <x v="2"/>
    <n v="1500"/>
    <s v="Rohit Sen"/>
    <x v="6"/>
  </r>
  <r>
    <n v="1243"/>
    <s v="16-Jul-2024"/>
    <s v="C155"/>
    <s v="P210"/>
    <n v="1"/>
    <x v="7"/>
    <x v="1"/>
    <n v="3500"/>
    <x v="6"/>
    <n v="3500"/>
    <s v="Manav Arora"/>
    <x v="4"/>
  </r>
  <r>
    <n v="1244"/>
    <s v="03-Jul-2024"/>
    <s v="C135"/>
    <s v="P210"/>
    <n v="5"/>
    <x v="7"/>
    <x v="1"/>
    <n v="3500"/>
    <x v="6"/>
    <n v="17500"/>
    <s v="Vikas Nair"/>
    <x v="4"/>
  </r>
  <r>
    <n v="1245"/>
    <s v="25-Jul-2024"/>
    <s v="C147"/>
    <s v="P202"/>
    <n v="2"/>
    <x v="0"/>
    <x v="2"/>
    <n v="20000"/>
    <x v="6"/>
    <n v="40000"/>
    <s v="Riya Das"/>
    <x v="7"/>
  </r>
  <r>
    <n v="1246"/>
    <s v="15-Dec-2024"/>
    <s v="C105"/>
    <s v="P205"/>
    <n v="5"/>
    <x v="4"/>
    <x v="0"/>
    <n v="7000"/>
    <x v="2"/>
    <n v="35000"/>
    <s v="Pooja Jain"/>
    <x v="9"/>
  </r>
  <r>
    <n v="1247"/>
    <s v="01-Oct-2024"/>
    <s v="C120"/>
    <s v="P207"/>
    <n v="3"/>
    <x v="1"/>
    <x v="1"/>
    <n v="1500"/>
    <x v="11"/>
    <n v="4500"/>
    <s v="Nitin Joshi"/>
    <x v="6"/>
  </r>
  <r>
    <n v="1248"/>
    <s v="05-Oct-2024"/>
    <s v="C151"/>
    <s v="P203"/>
    <n v="2"/>
    <x v="3"/>
    <x v="2"/>
    <n v="15000"/>
    <x v="11"/>
    <n v="30000"/>
    <s v="Arjun Malhotra"/>
    <x v="3"/>
  </r>
  <r>
    <n v="1249"/>
    <s v="17-Jan-2024"/>
    <s v="C128"/>
    <s v="P201"/>
    <n v="2"/>
    <x v="9"/>
    <x v="2"/>
    <n v="50000"/>
    <x v="1"/>
    <n v="100000"/>
    <s v="Neha Singh"/>
    <x v="8"/>
  </r>
  <r>
    <n v="1250"/>
    <s v="19-Oct-2024"/>
    <s v="C200"/>
    <s v="P204"/>
    <n v="2"/>
    <x v="9"/>
    <x v="0"/>
    <n v="3000"/>
    <x v="11"/>
    <n v="6000"/>
    <s v="Ravi Patel"/>
    <x v="5"/>
  </r>
  <r>
    <n v="1251"/>
    <s v="04-Feb-2024"/>
    <s v="C178"/>
    <s v="P203"/>
    <n v="3"/>
    <x v="3"/>
    <x v="2"/>
    <n v="15000"/>
    <x v="10"/>
    <n v="45000"/>
    <s v="Nitin Joshi"/>
    <x v="3"/>
  </r>
  <r>
    <n v="1252"/>
    <s v="18-Feb-2024"/>
    <s v="C139"/>
    <s v="P205"/>
    <n v="4"/>
    <x v="4"/>
    <x v="0"/>
    <n v="7000"/>
    <x v="10"/>
    <n v="28000"/>
    <s v="Arjun Malhotra"/>
    <x v="9"/>
  </r>
  <r>
    <n v="1253"/>
    <s v="10-Feb-2024"/>
    <s v="C120"/>
    <s v="P201"/>
    <n v="5"/>
    <x v="1"/>
    <x v="2"/>
    <n v="50000"/>
    <x v="10"/>
    <n v="250000"/>
    <s v="Nitin Joshi"/>
    <x v="8"/>
  </r>
  <r>
    <n v="1254"/>
    <s v="01-Jun-2024"/>
    <s v="C190"/>
    <s v="P205"/>
    <n v="1"/>
    <x v="7"/>
    <x v="0"/>
    <n v="7000"/>
    <x v="8"/>
    <n v="7000"/>
    <s v="Rohit Sen"/>
    <x v="9"/>
  </r>
  <r>
    <n v="1255"/>
    <s v="16-Jul-2024"/>
    <s v="C134"/>
    <s v="P201"/>
    <n v="4"/>
    <x v="7"/>
    <x v="2"/>
    <n v="50000"/>
    <x v="6"/>
    <n v="200000"/>
    <s v="Ravi Patel"/>
    <x v="8"/>
  </r>
  <r>
    <n v="1256"/>
    <s v="08-Feb-2024"/>
    <s v="C129"/>
    <s v="P207"/>
    <n v="1"/>
    <x v="2"/>
    <x v="1"/>
    <n v="1500"/>
    <x v="10"/>
    <n v="1500"/>
    <s v="Karan Mehta"/>
    <x v="6"/>
  </r>
  <r>
    <n v="1257"/>
    <s v="06-Sep-2024"/>
    <s v="C102"/>
    <s v="P208"/>
    <n v="3"/>
    <x v="4"/>
    <x v="1"/>
    <n v="2500"/>
    <x v="9"/>
    <n v="7500"/>
    <s v="Priya Kapoor"/>
    <x v="1"/>
  </r>
  <r>
    <n v="1258"/>
    <s v="06-Oct-2024"/>
    <s v="C194"/>
    <s v="P205"/>
    <n v="3"/>
    <x v="3"/>
    <x v="0"/>
    <n v="7000"/>
    <x v="11"/>
    <n v="21000"/>
    <s v="Sejal Shah"/>
    <x v="9"/>
  </r>
  <r>
    <n v="1259"/>
    <s v="11-Feb-2024"/>
    <s v="C191"/>
    <s v="P204"/>
    <n v="4"/>
    <x v="2"/>
    <x v="0"/>
    <n v="3000"/>
    <x v="10"/>
    <n v="12000"/>
    <s v="Karan Mehta"/>
    <x v="5"/>
  </r>
  <r>
    <n v="1260"/>
    <s v="02-Feb-2024"/>
    <s v="C155"/>
    <s v="P207"/>
    <n v="1"/>
    <x v="7"/>
    <x v="1"/>
    <n v="1500"/>
    <x v="10"/>
    <n v="1500"/>
    <s v="Manav Arora"/>
    <x v="6"/>
  </r>
  <r>
    <n v="1261"/>
    <s v="08-Jun-2024"/>
    <s v="C163"/>
    <s v="P205"/>
    <n v="1"/>
    <x v="1"/>
    <x v="0"/>
    <n v="7000"/>
    <x v="8"/>
    <n v="7000"/>
    <s v="Ankit Roy"/>
    <x v="9"/>
  </r>
  <r>
    <n v="1262"/>
    <s v="09-Feb-2024"/>
    <s v="C127"/>
    <s v="P204"/>
    <n v="4"/>
    <x v="8"/>
    <x v="0"/>
    <n v="3000"/>
    <x v="10"/>
    <n v="12000"/>
    <s v="Ravi Patel"/>
    <x v="5"/>
  </r>
  <r>
    <n v="1263"/>
    <s v="02-Dec-2024"/>
    <s v="C165"/>
    <s v="P205"/>
    <n v="2"/>
    <x v="6"/>
    <x v="0"/>
    <n v="7000"/>
    <x v="2"/>
    <n v="14000"/>
    <s v="Arjun Malhotra"/>
    <x v="9"/>
  </r>
  <r>
    <n v="1264"/>
    <s v="22-Jun-2024"/>
    <s v="C118"/>
    <s v="P207"/>
    <n v="1"/>
    <x v="0"/>
    <x v="1"/>
    <n v="1500"/>
    <x v="8"/>
    <n v="1500"/>
    <s v="Neha Singh"/>
    <x v="6"/>
  </r>
  <r>
    <n v="1265"/>
    <s v="01-Jan-2024"/>
    <s v="C176"/>
    <s v="P207"/>
    <n v="1"/>
    <x v="1"/>
    <x v="1"/>
    <n v="1500"/>
    <x v="1"/>
    <n v="1500"/>
    <s v="Priya Kapoor"/>
    <x v="6"/>
  </r>
  <r>
    <n v="1266"/>
    <s v="21-Jun-2024"/>
    <s v="C144"/>
    <s v="P208"/>
    <n v="5"/>
    <x v="4"/>
    <x v="1"/>
    <n v="2500"/>
    <x v="8"/>
    <n v="12500"/>
    <s v="Rahul Sharma"/>
    <x v="1"/>
  </r>
  <r>
    <n v="1267"/>
    <s v="05-Feb-2024"/>
    <s v="C106"/>
    <s v="P203"/>
    <n v="3"/>
    <x v="6"/>
    <x v="2"/>
    <n v="15000"/>
    <x v="10"/>
    <n v="45000"/>
    <s v="Rahul Sharma"/>
    <x v="3"/>
  </r>
  <r>
    <n v="1268"/>
    <s v="08-Sep-2024"/>
    <s v="C147"/>
    <s v="P203"/>
    <n v="3"/>
    <x v="0"/>
    <x v="2"/>
    <n v="15000"/>
    <x v="9"/>
    <n v="45000"/>
    <s v="Riya Das"/>
    <x v="3"/>
  </r>
  <r>
    <n v="1269"/>
    <s v="02-Aug-2024"/>
    <s v="C133"/>
    <s v="P205"/>
    <n v="3"/>
    <x v="7"/>
    <x v="0"/>
    <n v="7000"/>
    <x v="7"/>
    <n v="21000"/>
    <s v="Rahul Sharma"/>
    <x v="9"/>
  </r>
  <r>
    <n v="1270"/>
    <s v="05-Mar-2024"/>
    <s v="C160"/>
    <s v="P209"/>
    <n v="2"/>
    <x v="3"/>
    <x v="1"/>
    <n v="1800"/>
    <x v="4"/>
    <n v="3600"/>
    <s v="Karan Mehta"/>
    <x v="2"/>
  </r>
  <r>
    <n v="1271"/>
    <s v="23-Oct-2024"/>
    <s v="C177"/>
    <s v="P206"/>
    <n v="3"/>
    <x v="2"/>
    <x v="0"/>
    <n v="25000"/>
    <x v="11"/>
    <n v="75000"/>
    <s v="Komal Gupta"/>
    <x v="0"/>
  </r>
  <r>
    <n v="1272"/>
    <s v="16-May-2024"/>
    <s v="C153"/>
    <s v="P203"/>
    <n v="5"/>
    <x v="2"/>
    <x v="2"/>
    <n v="15000"/>
    <x v="3"/>
    <n v="75000"/>
    <s v="Priya Kapoor"/>
    <x v="3"/>
  </r>
  <r>
    <n v="1273"/>
    <s v="05-Jan-2024"/>
    <s v="C161"/>
    <s v="P206"/>
    <n v="1"/>
    <x v="9"/>
    <x v="0"/>
    <n v="25000"/>
    <x v="1"/>
    <n v="25000"/>
    <s v="Karan Mehta"/>
    <x v="0"/>
  </r>
  <r>
    <n v="1274"/>
    <s v="03-Aug-2024"/>
    <s v="C108"/>
    <s v="P210"/>
    <n v="5"/>
    <x v="2"/>
    <x v="1"/>
    <n v="3500"/>
    <x v="7"/>
    <n v="17500"/>
    <s v="Komal Gupta"/>
    <x v="4"/>
  </r>
  <r>
    <n v="1275"/>
    <s v="09-Jul-2024"/>
    <s v="C178"/>
    <s v="P208"/>
    <n v="5"/>
    <x v="3"/>
    <x v="1"/>
    <n v="2500"/>
    <x v="6"/>
    <n v="12500"/>
    <s v="Nitin Joshi"/>
    <x v="1"/>
  </r>
  <r>
    <n v="1276"/>
    <s v="11-Mar-2024"/>
    <s v="C106"/>
    <s v="P209"/>
    <n v="3"/>
    <x v="6"/>
    <x v="1"/>
    <n v="1800"/>
    <x v="4"/>
    <n v="5400"/>
    <s v="Rahul Sharma"/>
    <x v="2"/>
  </r>
  <r>
    <n v="1277"/>
    <s v="12-Jul-2024"/>
    <s v="C184"/>
    <s v="P207"/>
    <n v="4"/>
    <x v="5"/>
    <x v="1"/>
    <n v="1500"/>
    <x v="6"/>
    <n v="6000"/>
    <s v="Tanya Sethi"/>
    <x v="6"/>
  </r>
  <r>
    <n v="1278"/>
    <s v="13-Sep-2024"/>
    <s v="C167"/>
    <s v="P209"/>
    <n v="1"/>
    <x v="5"/>
    <x v="1"/>
    <n v="1800"/>
    <x v="9"/>
    <n v="1800"/>
    <s v="Rohit Sen"/>
    <x v="2"/>
  </r>
  <r>
    <n v="1279"/>
    <s v="15-Nov-2024"/>
    <s v="C159"/>
    <s v="P203"/>
    <n v="2"/>
    <x v="2"/>
    <x v="2"/>
    <n v="15000"/>
    <x v="0"/>
    <n v="30000"/>
    <s v="Priya Kapoor"/>
    <x v="3"/>
  </r>
  <r>
    <n v="1280"/>
    <s v="09-Dec-2024"/>
    <s v="C169"/>
    <s v="P208"/>
    <n v="2"/>
    <x v="4"/>
    <x v="1"/>
    <n v="2500"/>
    <x v="2"/>
    <n v="5000"/>
    <s v="Rohit Sen"/>
    <x v="1"/>
  </r>
  <r>
    <n v="1281"/>
    <s v="22-Aug-2024"/>
    <s v="C170"/>
    <s v="P210"/>
    <n v="1"/>
    <x v="0"/>
    <x v="1"/>
    <n v="3500"/>
    <x v="7"/>
    <n v="3500"/>
    <s v="Vikas Nair"/>
    <x v="4"/>
  </r>
  <r>
    <n v="1282"/>
    <s v="11-Jan-2024"/>
    <s v="C178"/>
    <s v="P206"/>
    <n v="5"/>
    <x v="3"/>
    <x v="0"/>
    <n v="25000"/>
    <x v="1"/>
    <n v="125000"/>
    <s v="Nitin Joshi"/>
    <x v="0"/>
  </r>
  <r>
    <n v="1283"/>
    <s v="21-Oct-2024"/>
    <s v="C189"/>
    <s v="P207"/>
    <n v="1"/>
    <x v="2"/>
    <x v="1"/>
    <n v="1500"/>
    <x v="11"/>
    <n v="1500"/>
    <s v="Ishita Bose"/>
    <x v="6"/>
  </r>
  <r>
    <n v="1284"/>
    <s v="14-May-2024"/>
    <s v="C146"/>
    <s v="P203"/>
    <n v="2"/>
    <x v="3"/>
    <x v="2"/>
    <n v="15000"/>
    <x v="3"/>
    <n v="30000"/>
    <s v="Sneha Iyer"/>
    <x v="3"/>
  </r>
  <r>
    <n v="1285"/>
    <s v="05-Sep-2024"/>
    <s v="C142"/>
    <s v="P206"/>
    <n v="5"/>
    <x v="3"/>
    <x v="0"/>
    <n v="25000"/>
    <x v="9"/>
    <n v="125000"/>
    <s v="Neha Singh"/>
    <x v="0"/>
  </r>
  <r>
    <n v="1286"/>
    <s v="28-Feb-2024"/>
    <s v="C142"/>
    <s v="P210"/>
    <n v="3"/>
    <x v="3"/>
    <x v="1"/>
    <n v="3500"/>
    <x v="10"/>
    <n v="10500"/>
    <s v="Neha Singh"/>
    <x v="4"/>
  </r>
  <r>
    <n v="1287"/>
    <s v="20-Mar-2024"/>
    <s v="C192"/>
    <s v="P206"/>
    <n v="5"/>
    <x v="1"/>
    <x v="0"/>
    <n v="25000"/>
    <x v="4"/>
    <n v="125000"/>
    <s v="Tanya Sethi"/>
    <x v="0"/>
  </r>
  <r>
    <n v="1288"/>
    <s v="26-Jan-2024"/>
    <s v="C147"/>
    <s v="P210"/>
    <n v="5"/>
    <x v="0"/>
    <x v="1"/>
    <n v="3500"/>
    <x v="1"/>
    <n v="17500"/>
    <s v="Riya Das"/>
    <x v="4"/>
  </r>
  <r>
    <n v="1289"/>
    <s v="16-Oct-2024"/>
    <s v="C119"/>
    <s v="P203"/>
    <n v="3"/>
    <x v="0"/>
    <x v="2"/>
    <n v="15000"/>
    <x v="11"/>
    <n v="45000"/>
    <s v="Ankit Roy"/>
    <x v="3"/>
  </r>
  <r>
    <n v="1290"/>
    <s v="18-Aug-2024"/>
    <s v="C143"/>
    <s v="P205"/>
    <n v="5"/>
    <x v="4"/>
    <x v="0"/>
    <n v="7000"/>
    <x v="7"/>
    <n v="35000"/>
    <s v="Nitin Joshi"/>
    <x v="9"/>
  </r>
  <r>
    <n v="1291"/>
    <s v="13-Mar-2024"/>
    <s v="C179"/>
    <s v="P203"/>
    <n v="5"/>
    <x v="7"/>
    <x v="2"/>
    <n v="15000"/>
    <x v="4"/>
    <n v="75000"/>
    <s v="Meera Kulkarni"/>
    <x v="3"/>
  </r>
  <r>
    <n v="1292"/>
    <s v="28-Oct-2024"/>
    <s v="C130"/>
    <s v="P205"/>
    <n v="5"/>
    <x v="9"/>
    <x v="0"/>
    <n v="7000"/>
    <x v="11"/>
    <n v="35000"/>
    <s v="Manav Arora"/>
    <x v="9"/>
  </r>
  <r>
    <n v="1293"/>
    <s v="06-Feb-2024"/>
    <s v="C108"/>
    <s v="P203"/>
    <n v="3"/>
    <x v="2"/>
    <x v="2"/>
    <n v="15000"/>
    <x v="10"/>
    <n v="45000"/>
    <s v="Komal Gupta"/>
    <x v="3"/>
  </r>
  <r>
    <n v="1294"/>
    <s v="24-Jan-2024"/>
    <s v="C173"/>
    <s v="P202"/>
    <n v="1"/>
    <x v="2"/>
    <x v="2"/>
    <n v="20000"/>
    <x v="1"/>
    <n v="20000"/>
    <s v="Neha Singh"/>
    <x v="7"/>
  </r>
  <r>
    <n v="1295"/>
    <s v="29-Apr-2024"/>
    <s v="C134"/>
    <s v="P202"/>
    <n v="4"/>
    <x v="7"/>
    <x v="2"/>
    <n v="20000"/>
    <x v="5"/>
    <n v="80000"/>
    <s v="Ravi Patel"/>
    <x v="7"/>
  </r>
  <r>
    <n v="1296"/>
    <s v="10-Apr-2024"/>
    <s v="C170"/>
    <s v="P209"/>
    <n v="1"/>
    <x v="0"/>
    <x v="1"/>
    <n v="1800"/>
    <x v="5"/>
    <n v="1800"/>
    <s v="Vikas Nair"/>
    <x v="2"/>
  </r>
  <r>
    <n v="1297"/>
    <s v="26-Dec-2024"/>
    <s v="C197"/>
    <s v="P204"/>
    <n v="3"/>
    <x v="8"/>
    <x v="0"/>
    <n v="3000"/>
    <x v="2"/>
    <n v="9000"/>
    <s v="Neha Singh"/>
    <x v="5"/>
  </r>
  <r>
    <n v="1298"/>
    <s v="16-Oct-2024"/>
    <s v="C108"/>
    <s v="P205"/>
    <n v="5"/>
    <x v="2"/>
    <x v="0"/>
    <n v="7000"/>
    <x v="11"/>
    <n v="35000"/>
    <s v="Komal Gupta"/>
    <x v="9"/>
  </r>
  <r>
    <n v="1299"/>
    <s v="28-Sep-2024"/>
    <s v="C137"/>
    <s v="P210"/>
    <n v="4"/>
    <x v="0"/>
    <x v="1"/>
    <n v="3500"/>
    <x v="9"/>
    <n v="14000"/>
    <s v="Sejal Shah"/>
    <x v="4"/>
  </r>
  <r>
    <n v="1300"/>
    <s v="02-Jan-2024"/>
    <s v="C167"/>
    <s v="P204"/>
    <n v="3"/>
    <x v="5"/>
    <x v="0"/>
    <n v="3000"/>
    <x v="1"/>
    <n v="9000"/>
    <s v="Rohit Sen"/>
    <x v="5"/>
  </r>
  <r>
    <n v="1301"/>
    <s v="19-Feb-2024"/>
    <s v="C189"/>
    <s v="P206"/>
    <n v="5"/>
    <x v="2"/>
    <x v="0"/>
    <n v="25000"/>
    <x v="10"/>
    <n v="125000"/>
    <s v="Ishita Bose"/>
    <x v="0"/>
  </r>
  <r>
    <n v="1302"/>
    <s v="03-Nov-2024"/>
    <s v="C171"/>
    <s v="P204"/>
    <n v="3"/>
    <x v="8"/>
    <x v="0"/>
    <n v="3000"/>
    <x v="0"/>
    <n v="9000"/>
    <s v="Rahul Sharma"/>
    <x v="5"/>
  </r>
  <r>
    <n v="1303"/>
    <s v="01-Aug-2024"/>
    <s v="C116"/>
    <s v="P210"/>
    <n v="5"/>
    <x v="5"/>
    <x v="1"/>
    <n v="3500"/>
    <x v="7"/>
    <n v="17500"/>
    <s v="Tanya Sethi"/>
    <x v="4"/>
  </r>
  <r>
    <n v="1304"/>
    <s v="08-Jun-2024"/>
    <s v="C181"/>
    <s v="P207"/>
    <n v="1"/>
    <x v="1"/>
    <x v="1"/>
    <n v="1500"/>
    <x v="8"/>
    <n v="1500"/>
    <s v="Manav Arora"/>
    <x v="6"/>
  </r>
  <r>
    <n v="1305"/>
    <s v="01-May-2024"/>
    <s v="C132"/>
    <s v="P209"/>
    <n v="2"/>
    <x v="7"/>
    <x v="1"/>
    <n v="1800"/>
    <x v="3"/>
    <n v="3600"/>
    <s v="Amit Verma"/>
    <x v="2"/>
  </r>
  <r>
    <n v="1306"/>
    <s v="26-Sep-2024"/>
    <s v="C184"/>
    <s v="P207"/>
    <n v="1"/>
    <x v="5"/>
    <x v="1"/>
    <n v="1500"/>
    <x v="9"/>
    <n v="1500"/>
    <s v="Tanya Sethi"/>
    <x v="6"/>
  </r>
  <r>
    <n v="1307"/>
    <s v="07-Jan-2024"/>
    <s v="C143"/>
    <s v="P208"/>
    <n v="4"/>
    <x v="4"/>
    <x v="1"/>
    <n v="2500"/>
    <x v="1"/>
    <n v="10000"/>
    <s v="Nitin Joshi"/>
    <x v="1"/>
  </r>
  <r>
    <n v="1308"/>
    <s v="18-Apr-2024"/>
    <s v="C179"/>
    <s v="P203"/>
    <n v="3"/>
    <x v="7"/>
    <x v="2"/>
    <n v="15000"/>
    <x v="5"/>
    <n v="45000"/>
    <s v="Meera Kulkarni"/>
    <x v="3"/>
  </r>
  <r>
    <n v="1309"/>
    <s v="23-Mar-2024"/>
    <s v="C200"/>
    <s v="P203"/>
    <n v="2"/>
    <x v="9"/>
    <x v="2"/>
    <n v="15000"/>
    <x v="4"/>
    <n v="30000"/>
    <s v="Ravi Patel"/>
    <x v="3"/>
  </r>
  <r>
    <n v="1310"/>
    <s v="16-Jun-2024"/>
    <s v="C189"/>
    <s v="P205"/>
    <n v="3"/>
    <x v="2"/>
    <x v="0"/>
    <n v="7000"/>
    <x v="8"/>
    <n v="21000"/>
    <s v="Ishita Bose"/>
    <x v="9"/>
  </r>
  <r>
    <n v="1311"/>
    <s v="19-Dec-2024"/>
    <s v="C141"/>
    <s v="P203"/>
    <n v="1"/>
    <x v="7"/>
    <x v="2"/>
    <n v="15000"/>
    <x v="2"/>
    <n v="15000"/>
    <s v="Amit Verma"/>
    <x v="3"/>
  </r>
  <r>
    <n v="1312"/>
    <s v="27-Jan-2024"/>
    <s v="C171"/>
    <s v="P204"/>
    <n v="3"/>
    <x v="8"/>
    <x v="0"/>
    <n v="3000"/>
    <x v="1"/>
    <n v="9000"/>
    <s v="Rahul Sharma"/>
    <x v="5"/>
  </r>
  <r>
    <n v="1313"/>
    <s v="10-Mar-2024"/>
    <s v="C153"/>
    <s v="P210"/>
    <n v="5"/>
    <x v="2"/>
    <x v="1"/>
    <n v="3500"/>
    <x v="4"/>
    <n v="17500"/>
    <s v="Priya Kapoor"/>
    <x v="4"/>
  </r>
  <r>
    <n v="1314"/>
    <s v="05-Jan-2024"/>
    <s v="C151"/>
    <s v="P209"/>
    <n v="4"/>
    <x v="3"/>
    <x v="1"/>
    <n v="1800"/>
    <x v="1"/>
    <n v="7200"/>
    <s v="Arjun Malhotra"/>
    <x v="2"/>
  </r>
  <r>
    <n v="1315"/>
    <s v="08-Sep-2024"/>
    <s v="C131"/>
    <s v="P209"/>
    <n v="2"/>
    <x v="2"/>
    <x v="1"/>
    <n v="1800"/>
    <x v="9"/>
    <n v="3600"/>
    <s v="Rohit Sen"/>
    <x v="2"/>
  </r>
  <r>
    <n v="1316"/>
    <s v="03-May-2024"/>
    <s v="C194"/>
    <s v="P206"/>
    <n v="2"/>
    <x v="3"/>
    <x v="0"/>
    <n v="25000"/>
    <x v="3"/>
    <n v="50000"/>
    <s v="Sejal Shah"/>
    <x v="0"/>
  </r>
  <r>
    <n v="1317"/>
    <s v="04-May-2024"/>
    <s v="C118"/>
    <s v="P206"/>
    <n v="2"/>
    <x v="0"/>
    <x v="0"/>
    <n v="25000"/>
    <x v="3"/>
    <n v="50000"/>
    <s v="Neha Singh"/>
    <x v="0"/>
  </r>
  <r>
    <n v="1318"/>
    <s v="09-May-2024"/>
    <s v="C107"/>
    <s v="P206"/>
    <n v="2"/>
    <x v="6"/>
    <x v="0"/>
    <n v="25000"/>
    <x v="3"/>
    <n v="50000"/>
    <s v="Pooja Jain"/>
    <x v="0"/>
  </r>
  <r>
    <n v="1319"/>
    <s v="27-Feb-2024"/>
    <s v="C186"/>
    <s v="P209"/>
    <n v="3"/>
    <x v="6"/>
    <x v="1"/>
    <n v="1800"/>
    <x v="10"/>
    <n v="5400"/>
    <s v="Riya Das"/>
    <x v="2"/>
  </r>
  <r>
    <n v="1320"/>
    <s v="08-Aug-2024"/>
    <s v="C162"/>
    <s v="P210"/>
    <n v="1"/>
    <x v="1"/>
    <x v="1"/>
    <n v="3500"/>
    <x v="7"/>
    <n v="3500"/>
    <s v="Rohit Sen"/>
    <x v="4"/>
  </r>
  <r>
    <n v="1321"/>
    <s v="30-Sep-2024"/>
    <s v="C192"/>
    <s v="P203"/>
    <n v="2"/>
    <x v="1"/>
    <x v="2"/>
    <n v="15000"/>
    <x v="9"/>
    <n v="30000"/>
    <s v="Tanya Sethi"/>
    <x v="3"/>
  </r>
  <r>
    <n v="1322"/>
    <s v="10-Jan-2024"/>
    <s v="C192"/>
    <s v="P210"/>
    <n v="2"/>
    <x v="1"/>
    <x v="1"/>
    <n v="3500"/>
    <x v="1"/>
    <n v="7000"/>
    <s v="Tanya Sethi"/>
    <x v="4"/>
  </r>
  <r>
    <n v="1323"/>
    <s v="14-Feb-2024"/>
    <s v="C147"/>
    <s v="P210"/>
    <n v="3"/>
    <x v="0"/>
    <x v="1"/>
    <n v="3500"/>
    <x v="10"/>
    <n v="10500"/>
    <s v="Riya Das"/>
    <x v="4"/>
  </r>
  <r>
    <n v="1324"/>
    <s v="28-Feb-2024"/>
    <s v="C170"/>
    <s v="P208"/>
    <n v="2"/>
    <x v="0"/>
    <x v="1"/>
    <n v="2500"/>
    <x v="10"/>
    <n v="5000"/>
    <s v="Vikas Nair"/>
    <x v="1"/>
  </r>
  <r>
    <n v="1325"/>
    <s v="07-Oct-2024"/>
    <s v="C120"/>
    <s v="P202"/>
    <n v="3"/>
    <x v="1"/>
    <x v="2"/>
    <n v="20000"/>
    <x v="11"/>
    <n v="60000"/>
    <s v="Nitin Joshi"/>
    <x v="7"/>
  </r>
  <r>
    <n v="1326"/>
    <s v="21-May-2024"/>
    <s v="C132"/>
    <s v="P208"/>
    <n v="2"/>
    <x v="7"/>
    <x v="1"/>
    <n v="2500"/>
    <x v="3"/>
    <n v="5000"/>
    <s v="Amit Verma"/>
    <x v="1"/>
  </r>
  <r>
    <n v="1327"/>
    <s v="20-Aug-2024"/>
    <s v="C118"/>
    <s v="P203"/>
    <n v="4"/>
    <x v="0"/>
    <x v="2"/>
    <n v="15000"/>
    <x v="7"/>
    <n v="60000"/>
    <s v="Neha Singh"/>
    <x v="3"/>
  </r>
  <r>
    <n v="1328"/>
    <s v="07-Dec-2024"/>
    <s v="C185"/>
    <s v="P205"/>
    <n v="2"/>
    <x v="5"/>
    <x v="0"/>
    <n v="7000"/>
    <x v="2"/>
    <n v="14000"/>
    <s v="Tanya Sethi"/>
    <x v="9"/>
  </r>
  <r>
    <n v="1329"/>
    <s v="29-May-2024"/>
    <s v="C154"/>
    <s v="P205"/>
    <n v="5"/>
    <x v="3"/>
    <x v="0"/>
    <n v="7000"/>
    <x v="3"/>
    <n v="35000"/>
    <s v="Manav Arora"/>
    <x v="9"/>
  </r>
  <r>
    <n v="1330"/>
    <s v="12-Oct-2024"/>
    <s v="C149"/>
    <s v="P203"/>
    <n v="2"/>
    <x v="1"/>
    <x v="2"/>
    <n v="15000"/>
    <x v="11"/>
    <n v="30000"/>
    <s v="Rahul Sharma"/>
    <x v="3"/>
  </r>
  <r>
    <n v="1331"/>
    <s v="11-Dec-2024"/>
    <s v="C138"/>
    <s v="P209"/>
    <n v="2"/>
    <x v="3"/>
    <x v="1"/>
    <n v="1800"/>
    <x v="2"/>
    <n v="3600"/>
    <s v="Nitin Joshi"/>
    <x v="2"/>
  </r>
  <r>
    <n v="1332"/>
    <s v="10-Jun-2024"/>
    <s v="C160"/>
    <s v="P209"/>
    <n v="2"/>
    <x v="3"/>
    <x v="1"/>
    <n v="1800"/>
    <x v="8"/>
    <n v="3600"/>
    <s v="Karan Mehta"/>
    <x v="2"/>
  </r>
  <r>
    <n v="1333"/>
    <s v="09-May-2024"/>
    <s v="C186"/>
    <s v="P209"/>
    <n v="3"/>
    <x v="6"/>
    <x v="1"/>
    <n v="1800"/>
    <x v="3"/>
    <n v="5400"/>
    <s v="Riya Das"/>
    <x v="2"/>
  </r>
  <r>
    <n v="1334"/>
    <s v="13-Nov-2024"/>
    <s v="C103"/>
    <s v="P203"/>
    <n v="4"/>
    <x v="9"/>
    <x v="2"/>
    <n v="15000"/>
    <x v="0"/>
    <n v="60000"/>
    <s v="Priya Kapoor"/>
    <x v="3"/>
  </r>
  <r>
    <n v="1335"/>
    <s v="11-Oct-2024"/>
    <s v="C179"/>
    <s v="P204"/>
    <n v="1"/>
    <x v="7"/>
    <x v="0"/>
    <n v="3000"/>
    <x v="11"/>
    <n v="3000"/>
    <s v="Meera Kulkarni"/>
    <x v="5"/>
  </r>
  <r>
    <n v="1336"/>
    <s v="21-Jan-2024"/>
    <s v="C181"/>
    <s v="P204"/>
    <n v="5"/>
    <x v="1"/>
    <x v="0"/>
    <n v="3000"/>
    <x v="1"/>
    <n v="15000"/>
    <s v="Manav Arora"/>
    <x v="5"/>
  </r>
  <r>
    <n v="1337"/>
    <s v="04-May-2024"/>
    <s v="C195"/>
    <s v="P203"/>
    <n v="5"/>
    <x v="4"/>
    <x v="2"/>
    <n v="15000"/>
    <x v="3"/>
    <n v="75000"/>
    <s v="Ravi Patel"/>
    <x v="3"/>
  </r>
  <r>
    <n v="1338"/>
    <s v="19-Jan-2024"/>
    <s v="C172"/>
    <s v="P208"/>
    <n v="3"/>
    <x v="1"/>
    <x v="1"/>
    <n v="2500"/>
    <x v="1"/>
    <n v="7500"/>
    <s v="Manav Arora"/>
    <x v="1"/>
  </r>
  <r>
    <n v="1339"/>
    <s v="23-Apr-2024"/>
    <s v="C187"/>
    <s v="P202"/>
    <n v="4"/>
    <x v="7"/>
    <x v="2"/>
    <n v="20000"/>
    <x v="5"/>
    <n v="80000"/>
    <s v="Arjun Malhotra"/>
    <x v="7"/>
  </r>
  <r>
    <n v="1340"/>
    <s v="03-May-2024"/>
    <s v="C111"/>
    <s v="P209"/>
    <n v="5"/>
    <x v="8"/>
    <x v="1"/>
    <n v="1800"/>
    <x v="3"/>
    <n v="9000"/>
    <s v="Sejal Shah"/>
    <x v="2"/>
  </r>
  <r>
    <n v="1341"/>
    <s v="12-Nov-2024"/>
    <s v="C198"/>
    <s v="P201"/>
    <n v="1"/>
    <x v="3"/>
    <x v="2"/>
    <n v="50000"/>
    <x v="0"/>
    <n v="50000"/>
    <s v="Karan Mehta"/>
    <x v="8"/>
  </r>
  <r>
    <n v="1342"/>
    <s v="15-Jun-2024"/>
    <s v="C104"/>
    <s v="P208"/>
    <n v="5"/>
    <x v="8"/>
    <x v="1"/>
    <n v="2500"/>
    <x v="8"/>
    <n v="12500"/>
    <s v="Sneha Iyer"/>
    <x v="1"/>
  </r>
  <r>
    <n v="1343"/>
    <s v="09-Jun-2024"/>
    <s v="C189"/>
    <s v="P207"/>
    <n v="5"/>
    <x v="2"/>
    <x v="1"/>
    <n v="1500"/>
    <x v="8"/>
    <n v="7500"/>
    <s v="Ishita Bose"/>
    <x v="6"/>
  </r>
  <r>
    <n v="1344"/>
    <s v="05-Aug-2024"/>
    <s v="C185"/>
    <s v="P205"/>
    <n v="1"/>
    <x v="5"/>
    <x v="0"/>
    <n v="7000"/>
    <x v="7"/>
    <n v="7000"/>
    <s v="Tanya Sethi"/>
    <x v="9"/>
  </r>
  <r>
    <n v="1345"/>
    <s v="26-Aug-2024"/>
    <s v="C118"/>
    <s v="P208"/>
    <n v="1"/>
    <x v="0"/>
    <x v="1"/>
    <n v="2500"/>
    <x v="7"/>
    <n v="2500"/>
    <s v="Neha Singh"/>
    <x v="1"/>
  </r>
  <r>
    <n v="1346"/>
    <s v="29-Aug-2024"/>
    <s v="C172"/>
    <s v="P206"/>
    <n v="4"/>
    <x v="1"/>
    <x v="0"/>
    <n v="25000"/>
    <x v="7"/>
    <n v="100000"/>
    <s v="Manav Arora"/>
    <x v="0"/>
  </r>
  <r>
    <n v="1347"/>
    <s v="08-Apr-2024"/>
    <s v="C132"/>
    <s v="P202"/>
    <n v="5"/>
    <x v="7"/>
    <x v="2"/>
    <n v="20000"/>
    <x v="5"/>
    <n v="100000"/>
    <s v="Amit Verma"/>
    <x v="7"/>
  </r>
  <r>
    <n v="1348"/>
    <s v="01-Nov-2024"/>
    <s v="C106"/>
    <s v="P206"/>
    <n v="2"/>
    <x v="6"/>
    <x v="0"/>
    <n v="25000"/>
    <x v="0"/>
    <n v="50000"/>
    <s v="Rahul Sharma"/>
    <x v="0"/>
  </r>
  <r>
    <n v="1349"/>
    <s v="30-Jul-2024"/>
    <s v="C196"/>
    <s v="P201"/>
    <n v="2"/>
    <x v="7"/>
    <x v="2"/>
    <n v="50000"/>
    <x v="6"/>
    <n v="100000"/>
    <s v="Neha Singh"/>
    <x v="8"/>
  </r>
  <r>
    <n v="1350"/>
    <s v="19-Apr-2024"/>
    <s v="C123"/>
    <s v="P210"/>
    <n v="4"/>
    <x v="0"/>
    <x v="1"/>
    <n v="3500"/>
    <x v="5"/>
    <n v="14000"/>
    <s v="Ravi Patel"/>
    <x v="4"/>
  </r>
  <r>
    <n v="1351"/>
    <s v="25-Oct-2024"/>
    <s v="C162"/>
    <s v="P210"/>
    <n v="2"/>
    <x v="1"/>
    <x v="1"/>
    <n v="3500"/>
    <x v="11"/>
    <n v="7000"/>
    <s v="Rohit Sen"/>
    <x v="4"/>
  </r>
  <r>
    <n v="1352"/>
    <s v="21-Jun-2024"/>
    <s v="C118"/>
    <s v="P205"/>
    <n v="2"/>
    <x v="0"/>
    <x v="0"/>
    <n v="7000"/>
    <x v="8"/>
    <n v="14000"/>
    <s v="Neha Singh"/>
    <x v="9"/>
  </r>
  <r>
    <n v="1353"/>
    <s v="23-Jul-2024"/>
    <s v="C129"/>
    <s v="P201"/>
    <n v="4"/>
    <x v="2"/>
    <x v="2"/>
    <n v="50000"/>
    <x v="6"/>
    <n v="200000"/>
    <s v="Karan Mehta"/>
    <x v="8"/>
  </r>
  <r>
    <n v="1354"/>
    <s v="13-Jul-2024"/>
    <s v="C123"/>
    <s v="P204"/>
    <n v="5"/>
    <x v="0"/>
    <x v="0"/>
    <n v="3000"/>
    <x v="6"/>
    <n v="15000"/>
    <s v="Ravi Patel"/>
    <x v="5"/>
  </r>
  <r>
    <n v="1355"/>
    <s v="09-Jun-2024"/>
    <s v="C193"/>
    <s v="P206"/>
    <n v="1"/>
    <x v="4"/>
    <x v="0"/>
    <n v="25000"/>
    <x v="8"/>
    <n v="25000"/>
    <s v="Sneha Iyer"/>
    <x v="0"/>
  </r>
  <r>
    <n v="1356"/>
    <s v="22-Aug-2024"/>
    <s v="C191"/>
    <s v="P208"/>
    <n v="4"/>
    <x v="2"/>
    <x v="1"/>
    <n v="2500"/>
    <x v="7"/>
    <n v="10000"/>
    <s v="Karan Mehta"/>
    <x v="1"/>
  </r>
  <r>
    <n v="1357"/>
    <s v="27-Jun-2024"/>
    <s v="C172"/>
    <s v="P201"/>
    <n v="5"/>
    <x v="1"/>
    <x v="2"/>
    <n v="50000"/>
    <x v="8"/>
    <n v="250000"/>
    <s v="Manav Arora"/>
    <x v="8"/>
  </r>
  <r>
    <n v="1358"/>
    <s v="24-Mar-2024"/>
    <s v="C190"/>
    <s v="P203"/>
    <n v="1"/>
    <x v="7"/>
    <x v="2"/>
    <n v="15000"/>
    <x v="4"/>
    <n v="15000"/>
    <s v="Rohit Sen"/>
    <x v="3"/>
  </r>
  <r>
    <n v="1359"/>
    <s v="20-May-2024"/>
    <s v="C154"/>
    <s v="P208"/>
    <n v="5"/>
    <x v="3"/>
    <x v="1"/>
    <n v="2500"/>
    <x v="3"/>
    <n v="12500"/>
    <s v="Manav Arora"/>
    <x v="1"/>
  </r>
  <r>
    <n v="1360"/>
    <s v="19-Jul-2024"/>
    <s v="C150"/>
    <s v="P203"/>
    <n v="2"/>
    <x v="5"/>
    <x v="2"/>
    <n v="15000"/>
    <x v="6"/>
    <n v="30000"/>
    <s v="Arjun Malhotra"/>
    <x v="3"/>
  </r>
  <r>
    <n v="1361"/>
    <s v="25-Mar-2024"/>
    <s v="C149"/>
    <s v="P208"/>
    <n v="4"/>
    <x v="1"/>
    <x v="1"/>
    <n v="2500"/>
    <x v="4"/>
    <n v="10000"/>
    <s v="Rahul Sharma"/>
    <x v="1"/>
  </r>
  <r>
    <n v="1362"/>
    <s v="07-Jan-2024"/>
    <s v="C129"/>
    <s v="P205"/>
    <n v="3"/>
    <x v="2"/>
    <x v="0"/>
    <n v="7000"/>
    <x v="1"/>
    <n v="21000"/>
    <s v="Karan Mehta"/>
    <x v="9"/>
  </r>
  <r>
    <n v="1363"/>
    <s v="24-May-2024"/>
    <s v="C128"/>
    <s v="P207"/>
    <n v="3"/>
    <x v="9"/>
    <x v="1"/>
    <n v="1500"/>
    <x v="3"/>
    <n v="4500"/>
    <s v="Neha Singh"/>
    <x v="6"/>
  </r>
  <r>
    <n v="1364"/>
    <s v="16-Jan-2024"/>
    <s v="C125"/>
    <s v="P202"/>
    <n v="1"/>
    <x v="2"/>
    <x v="2"/>
    <n v="20000"/>
    <x v="1"/>
    <n v="20000"/>
    <s v="Tanya Sethi"/>
    <x v="7"/>
  </r>
  <r>
    <n v="1365"/>
    <s v="18-Dec-2024"/>
    <s v="C168"/>
    <s v="P203"/>
    <n v="1"/>
    <x v="2"/>
    <x v="2"/>
    <n v="15000"/>
    <x v="2"/>
    <n v="15000"/>
    <s v="Pooja Jain"/>
    <x v="3"/>
  </r>
  <r>
    <n v="1366"/>
    <s v="15-Apr-2024"/>
    <s v="C126"/>
    <s v="P201"/>
    <n v="4"/>
    <x v="8"/>
    <x v="2"/>
    <n v="50000"/>
    <x v="5"/>
    <n v="200000"/>
    <s v="Sneha Iyer"/>
    <x v="8"/>
  </r>
  <r>
    <n v="1367"/>
    <s v="29-Jan-2024"/>
    <s v="C157"/>
    <s v="P203"/>
    <n v="3"/>
    <x v="3"/>
    <x v="2"/>
    <n v="15000"/>
    <x v="1"/>
    <n v="45000"/>
    <s v="Ravi Patel"/>
    <x v="3"/>
  </r>
  <r>
    <n v="1368"/>
    <s v="19-Oct-2024"/>
    <s v="C191"/>
    <s v="P209"/>
    <n v="4"/>
    <x v="2"/>
    <x v="1"/>
    <n v="1800"/>
    <x v="11"/>
    <n v="7200"/>
    <s v="Karan Mehta"/>
    <x v="2"/>
  </r>
  <r>
    <n v="1369"/>
    <s v="31-May-2024"/>
    <s v="C130"/>
    <s v="P209"/>
    <n v="1"/>
    <x v="9"/>
    <x v="1"/>
    <n v="1800"/>
    <x v="3"/>
    <n v="1800"/>
    <s v="Manav Arora"/>
    <x v="2"/>
  </r>
  <r>
    <n v="1370"/>
    <s v="10-Feb-2024"/>
    <s v="C135"/>
    <s v="P207"/>
    <n v="1"/>
    <x v="7"/>
    <x v="1"/>
    <n v="1500"/>
    <x v="10"/>
    <n v="1500"/>
    <s v="Vikas Nair"/>
    <x v="6"/>
  </r>
  <r>
    <n v="1371"/>
    <s v="15-Feb-2024"/>
    <s v="C157"/>
    <s v="P209"/>
    <n v="4"/>
    <x v="3"/>
    <x v="1"/>
    <n v="1800"/>
    <x v="10"/>
    <n v="7200"/>
    <s v="Ravi Patel"/>
    <x v="2"/>
  </r>
  <r>
    <n v="1372"/>
    <s v="02-Oct-2024"/>
    <s v="C143"/>
    <s v="P208"/>
    <n v="3"/>
    <x v="4"/>
    <x v="1"/>
    <n v="2500"/>
    <x v="11"/>
    <n v="7500"/>
    <s v="Nitin Joshi"/>
    <x v="1"/>
  </r>
  <r>
    <n v="1373"/>
    <s v="22-Dec-2024"/>
    <s v="C151"/>
    <s v="P208"/>
    <n v="2"/>
    <x v="3"/>
    <x v="1"/>
    <n v="2500"/>
    <x v="2"/>
    <n v="5000"/>
    <s v="Arjun Malhotra"/>
    <x v="1"/>
  </r>
  <r>
    <n v="1374"/>
    <s v="10-Jul-2024"/>
    <s v="C163"/>
    <s v="P204"/>
    <n v="4"/>
    <x v="1"/>
    <x v="0"/>
    <n v="3000"/>
    <x v="6"/>
    <n v="12000"/>
    <s v="Ankit Roy"/>
    <x v="5"/>
  </r>
  <r>
    <n v="1375"/>
    <s v="16-Jan-2024"/>
    <s v="C159"/>
    <s v="P205"/>
    <n v="3"/>
    <x v="2"/>
    <x v="0"/>
    <n v="7000"/>
    <x v="1"/>
    <n v="21000"/>
    <s v="Priya Kapoor"/>
    <x v="9"/>
  </r>
  <r>
    <n v="1376"/>
    <s v="08-Oct-2024"/>
    <s v="C118"/>
    <s v="P201"/>
    <n v="5"/>
    <x v="0"/>
    <x v="2"/>
    <n v="50000"/>
    <x v="11"/>
    <n v="250000"/>
    <s v="Neha Singh"/>
    <x v="8"/>
  </r>
  <r>
    <n v="1377"/>
    <s v="10-Jul-2024"/>
    <s v="C197"/>
    <s v="P203"/>
    <n v="4"/>
    <x v="8"/>
    <x v="2"/>
    <n v="15000"/>
    <x v="6"/>
    <n v="60000"/>
    <s v="Neha Singh"/>
    <x v="3"/>
  </r>
  <r>
    <n v="1378"/>
    <s v="23-Jun-2024"/>
    <s v="C135"/>
    <s v="P207"/>
    <n v="4"/>
    <x v="7"/>
    <x v="1"/>
    <n v="1500"/>
    <x v="8"/>
    <n v="6000"/>
    <s v="Vikas Nair"/>
    <x v="6"/>
  </r>
  <r>
    <n v="1379"/>
    <s v="21-Apr-2024"/>
    <s v="C130"/>
    <s v="P206"/>
    <n v="1"/>
    <x v="9"/>
    <x v="0"/>
    <n v="25000"/>
    <x v="5"/>
    <n v="25000"/>
    <s v="Manav Arora"/>
    <x v="0"/>
  </r>
  <r>
    <n v="1380"/>
    <s v="17-Jul-2024"/>
    <s v="C124"/>
    <s v="P208"/>
    <n v="1"/>
    <x v="3"/>
    <x v="1"/>
    <n v="2500"/>
    <x v="6"/>
    <n v="2500"/>
    <s v="Rahul Sharma"/>
    <x v="1"/>
  </r>
  <r>
    <n v="1381"/>
    <s v="04-Sep-2024"/>
    <s v="C108"/>
    <s v="P209"/>
    <n v="1"/>
    <x v="2"/>
    <x v="1"/>
    <n v="1800"/>
    <x v="9"/>
    <n v="1800"/>
    <s v="Komal Gupta"/>
    <x v="2"/>
  </r>
  <r>
    <n v="1382"/>
    <s v="26-Apr-2024"/>
    <s v="C193"/>
    <s v="P209"/>
    <n v="3"/>
    <x v="4"/>
    <x v="1"/>
    <n v="1800"/>
    <x v="5"/>
    <n v="5400"/>
    <s v="Sneha Iyer"/>
    <x v="2"/>
  </r>
  <r>
    <n v="1383"/>
    <s v="07-Feb-2024"/>
    <s v="C124"/>
    <s v="P201"/>
    <n v="2"/>
    <x v="3"/>
    <x v="2"/>
    <n v="50000"/>
    <x v="10"/>
    <n v="100000"/>
    <s v="Rahul Sharma"/>
    <x v="8"/>
  </r>
  <r>
    <n v="1384"/>
    <s v="31-Jul-2024"/>
    <s v="C116"/>
    <s v="P204"/>
    <n v="2"/>
    <x v="5"/>
    <x v="0"/>
    <n v="3000"/>
    <x v="6"/>
    <n v="6000"/>
    <s v="Tanya Sethi"/>
    <x v="5"/>
  </r>
  <r>
    <n v="1385"/>
    <s v="15-Jun-2024"/>
    <s v="C185"/>
    <s v="P203"/>
    <n v="1"/>
    <x v="5"/>
    <x v="2"/>
    <n v="15000"/>
    <x v="8"/>
    <n v="15000"/>
    <s v="Tanya Sethi"/>
    <x v="3"/>
  </r>
  <r>
    <n v="1386"/>
    <s v="05-Dec-2024"/>
    <s v="C121"/>
    <s v="P202"/>
    <n v="4"/>
    <x v="2"/>
    <x v="2"/>
    <n v="20000"/>
    <x v="2"/>
    <n v="80000"/>
    <s v="Manav Arora"/>
    <x v="7"/>
  </r>
  <r>
    <n v="1387"/>
    <s v="28-May-2024"/>
    <s v="C169"/>
    <s v="P201"/>
    <n v="1"/>
    <x v="4"/>
    <x v="2"/>
    <n v="50000"/>
    <x v="3"/>
    <n v="50000"/>
    <s v="Rohit Sen"/>
    <x v="8"/>
  </r>
  <r>
    <n v="1388"/>
    <s v="17-May-2024"/>
    <s v="C197"/>
    <s v="P207"/>
    <n v="3"/>
    <x v="8"/>
    <x v="1"/>
    <n v="1500"/>
    <x v="3"/>
    <n v="4500"/>
    <s v="Neha Singh"/>
    <x v="6"/>
  </r>
  <r>
    <n v="1389"/>
    <s v="18-May-2024"/>
    <s v="C198"/>
    <s v="P208"/>
    <n v="2"/>
    <x v="3"/>
    <x v="1"/>
    <n v="2500"/>
    <x v="3"/>
    <n v="5000"/>
    <s v="Karan Mehta"/>
    <x v="1"/>
  </r>
  <r>
    <n v="1390"/>
    <s v="25-Feb-2024"/>
    <s v="C122"/>
    <s v="P204"/>
    <n v="2"/>
    <x v="3"/>
    <x v="0"/>
    <n v="3000"/>
    <x v="10"/>
    <n v="6000"/>
    <s v="Amit Verma"/>
    <x v="5"/>
  </r>
  <r>
    <n v="1391"/>
    <s v="16-Apr-2024"/>
    <s v="C141"/>
    <s v="P207"/>
    <n v="4"/>
    <x v="7"/>
    <x v="1"/>
    <n v="1500"/>
    <x v="5"/>
    <n v="6000"/>
    <s v="Amit Verma"/>
    <x v="6"/>
  </r>
  <r>
    <n v="1392"/>
    <s v="14-Nov-2024"/>
    <s v="C139"/>
    <s v="P203"/>
    <n v="2"/>
    <x v="4"/>
    <x v="2"/>
    <n v="15000"/>
    <x v="0"/>
    <n v="30000"/>
    <s v="Arjun Malhotra"/>
    <x v="3"/>
  </r>
  <r>
    <n v="1393"/>
    <s v="21-Dec-2024"/>
    <s v="C168"/>
    <s v="P207"/>
    <n v="1"/>
    <x v="2"/>
    <x v="1"/>
    <n v="1500"/>
    <x v="2"/>
    <n v="1500"/>
    <s v="Pooja Jain"/>
    <x v="6"/>
  </r>
  <r>
    <n v="1394"/>
    <s v="22-May-2024"/>
    <s v="C173"/>
    <s v="P204"/>
    <n v="3"/>
    <x v="2"/>
    <x v="0"/>
    <n v="3000"/>
    <x v="3"/>
    <n v="9000"/>
    <s v="Neha Singh"/>
    <x v="5"/>
  </r>
  <r>
    <n v="1395"/>
    <s v="24-Aug-2024"/>
    <s v="C199"/>
    <s v="P209"/>
    <n v="2"/>
    <x v="2"/>
    <x v="1"/>
    <n v="1800"/>
    <x v="7"/>
    <n v="3600"/>
    <s v="Priya Kapoor"/>
    <x v="2"/>
  </r>
  <r>
    <n v="1396"/>
    <s v="03-Nov-2024"/>
    <s v="C106"/>
    <s v="P201"/>
    <n v="3"/>
    <x v="6"/>
    <x v="2"/>
    <n v="50000"/>
    <x v="0"/>
    <n v="150000"/>
    <s v="Rahul Sharma"/>
    <x v="8"/>
  </r>
  <r>
    <n v="1397"/>
    <s v="17-Dec-2024"/>
    <s v="C101"/>
    <s v="P204"/>
    <n v="1"/>
    <x v="1"/>
    <x v="0"/>
    <n v="3000"/>
    <x v="2"/>
    <n v="3000"/>
    <s v="Amit Verma"/>
    <x v="5"/>
  </r>
  <r>
    <n v="1398"/>
    <s v="17-Oct-2024"/>
    <s v="C184"/>
    <s v="P202"/>
    <n v="5"/>
    <x v="5"/>
    <x v="2"/>
    <n v="20000"/>
    <x v="11"/>
    <n v="100000"/>
    <s v="Tanya Sethi"/>
    <x v="7"/>
  </r>
  <r>
    <n v="1399"/>
    <s v="08-Aug-2024"/>
    <s v="C199"/>
    <s v="P201"/>
    <n v="3"/>
    <x v="2"/>
    <x v="2"/>
    <n v="50000"/>
    <x v="7"/>
    <n v="150000"/>
    <s v="Priya Kapoor"/>
    <x v="8"/>
  </r>
  <r>
    <n v="1400"/>
    <s v="14-Dec-2024"/>
    <s v="C117"/>
    <s v="P202"/>
    <n v="3"/>
    <x v="1"/>
    <x v="2"/>
    <n v="20000"/>
    <x v="2"/>
    <n v="60000"/>
    <s v="Priya Kapoor"/>
    <x v="7"/>
  </r>
  <r>
    <n v="1401"/>
    <s v="26-Jun-2024"/>
    <s v="C138"/>
    <s v="P205"/>
    <n v="5"/>
    <x v="3"/>
    <x v="0"/>
    <n v="7000"/>
    <x v="8"/>
    <n v="35000"/>
    <s v="Nitin Joshi"/>
    <x v="9"/>
  </r>
  <r>
    <n v="1402"/>
    <s v="03-Jul-2024"/>
    <s v="C173"/>
    <s v="P205"/>
    <n v="3"/>
    <x v="2"/>
    <x v="0"/>
    <n v="7000"/>
    <x v="6"/>
    <n v="21000"/>
    <s v="Neha Singh"/>
    <x v="9"/>
  </r>
  <r>
    <n v="1403"/>
    <s v="14-Nov-2024"/>
    <s v="C148"/>
    <s v="P202"/>
    <n v="2"/>
    <x v="0"/>
    <x v="2"/>
    <n v="20000"/>
    <x v="0"/>
    <n v="40000"/>
    <s v="Priya Kapoor"/>
    <x v="7"/>
  </r>
  <r>
    <n v="1404"/>
    <s v="04-Jul-2024"/>
    <s v="C189"/>
    <s v="P204"/>
    <n v="4"/>
    <x v="2"/>
    <x v="0"/>
    <n v="3000"/>
    <x v="6"/>
    <n v="12000"/>
    <s v="Ishita Bose"/>
    <x v="5"/>
  </r>
  <r>
    <n v="1405"/>
    <s v="05-Nov-2024"/>
    <s v="C101"/>
    <s v="P202"/>
    <n v="5"/>
    <x v="1"/>
    <x v="2"/>
    <n v="20000"/>
    <x v="0"/>
    <n v="100000"/>
    <s v="Amit Verma"/>
    <x v="7"/>
  </r>
  <r>
    <n v="1406"/>
    <s v="15-Sep-2024"/>
    <s v="C122"/>
    <s v="P206"/>
    <n v="4"/>
    <x v="3"/>
    <x v="0"/>
    <n v="25000"/>
    <x v="9"/>
    <n v="100000"/>
    <s v="Amit Verma"/>
    <x v="0"/>
  </r>
  <r>
    <n v="1407"/>
    <s v="14-Feb-2024"/>
    <s v="C161"/>
    <s v="P204"/>
    <n v="1"/>
    <x v="9"/>
    <x v="0"/>
    <n v="3000"/>
    <x v="10"/>
    <n v="3000"/>
    <s v="Karan Mehta"/>
    <x v="5"/>
  </r>
  <r>
    <n v="1408"/>
    <s v="14-Dec-2024"/>
    <s v="C118"/>
    <s v="P208"/>
    <n v="1"/>
    <x v="0"/>
    <x v="1"/>
    <n v="2500"/>
    <x v="2"/>
    <n v="2500"/>
    <s v="Neha Singh"/>
    <x v="1"/>
  </r>
  <r>
    <n v="1409"/>
    <s v="09-May-2024"/>
    <s v="C113"/>
    <s v="P209"/>
    <n v="3"/>
    <x v="0"/>
    <x v="1"/>
    <n v="1800"/>
    <x v="3"/>
    <n v="5400"/>
    <s v="Priya Kapoor"/>
    <x v="2"/>
  </r>
  <r>
    <n v="1410"/>
    <s v="24-Sep-2024"/>
    <s v="C147"/>
    <s v="P209"/>
    <n v="3"/>
    <x v="0"/>
    <x v="1"/>
    <n v="1800"/>
    <x v="9"/>
    <n v="5400"/>
    <s v="Riya Das"/>
    <x v="2"/>
  </r>
  <r>
    <n v="1411"/>
    <s v="30-Nov-2024"/>
    <s v="C166"/>
    <s v="P210"/>
    <n v="3"/>
    <x v="0"/>
    <x v="1"/>
    <n v="3500"/>
    <x v="0"/>
    <n v="10500"/>
    <s v="Pooja Jain"/>
    <x v="4"/>
  </r>
  <r>
    <n v="1412"/>
    <s v="25-Jun-2024"/>
    <s v="C108"/>
    <s v="P210"/>
    <n v="5"/>
    <x v="2"/>
    <x v="1"/>
    <n v="3500"/>
    <x v="8"/>
    <n v="17500"/>
    <s v="Komal Gupta"/>
    <x v="4"/>
  </r>
  <r>
    <n v="1413"/>
    <s v="12-Nov-2024"/>
    <s v="C167"/>
    <s v="P201"/>
    <n v="5"/>
    <x v="5"/>
    <x v="2"/>
    <n v="50000"/>
    <x v="0"/>
    <n v="250000"/>
    <s v="Rohit Sen"/>
    <x v="8"/>
  </r>
  <r>
    <n v="1414"/>
    <s v="30-Dec-2024"/>
    <s v="C166"/>
    <s v="P209"/>
    <n v="4"/>
    <x v="0"/>
    <x v="1"/>
    <n v="1800"/>
    <x v="2"/>
    <n v="7200"/>
    <s v="Pooja Jain"/>
    <x v="2"/>
  </r>
  <r>
    <n v="1415"/>
    <s v="30-Mar-2024"/>
    <s v="C102"/>
    <s v="P203"/>
    <n v="4"/>
    <x v="4"/>
    <x v="2"/>
    <n v="15000"/>
    <x v="4"/>
    <n v="60000"/>
    <s v="Priya Kapoor"/>
    <x v="3"/>
  </r>
  <r>
    <n v="1416"/>
    <s v="06-Jan-2024"/>
    <s v="C132"/>
    <s v="P208"/>
    <n v="1"/>
    <x v="7"/>
    <x v="1"/>
    <n v="2500"/>
    <x v="1"/>
    <n v="2500"/>
    <s v="Amit Verma"/>
    <x v="1"/>
  </r>
  <r>
    <n v="1417"/>
    <s v="24-Jun-2024"/>
    <s v="C153"/>
    <s v="P202"/>
    <n v="5"/>
    <x v="2"/>
    <x v="2"/>
    <n v="20000"/>
    <x v="8"/>
    <n v="100000"/>
    <s v="Priya Kapoor"/>
    <x v="7"/>
  </r>
  <r>
    <n v="1418"/>
    <s v="23-Aug-2024"/>
    <s v="C149"/>
    <s v="P201"/>
    <n v="2"/>
    <x v="1"/>
    <x v="2"/>
    <n v="50000"/>
    <x v="7"/>
    <n v="100000"/>
    <s v="Rahul Sharma"/>
    <x v="8"/>
  </r>
  <r>
    <n v="1419"/>
    <s v="28-Nov-2024"/>
    <s v="C186"/>
    <s v="P210"/>
    <n v="1"/>
    <x v="6"/>
    <x v="1"/>
    <n v="3500"/>
    <x v="0"/>
    <n v="3500"/>
    <s v="Riya Das"/>
    <x v="4"/>
  </r>
  <r>
    <n v="1420"/>
    <s v="18-Oct-2024"/>
    <s v="C128"/>
    <s v="P201"/>
    <n v="2"/>
    <x v="9"/>
    <x v="2"/>
    <n v="50000"/>
    <x v="11"/>
    <n v="100000"/>
    <s v="Neha Singh"/>
    <x v="8"/>
  </r>
  <r>
    <n v="1421"/>
    <s v="12-Dec-2024"/>
    <s v="C107"/>
    <s v="P203"/>
    <n v="1"/>
    <x v="6"/>
    <x v="2"/>
    <n v="15000"/>
    <x v="2"/>
    <n v="15000"/>
    <s v="Pooja Jain"/>
    <x v="3"/>
  </r>
  <r>
    <n v="1422"/>
    <s v="31-Jan-2024"/>
    <s v="C185"/>
    <s v="P206"/>
    <n v="5"/>
    <x v="5"/>
    <x v="0"/>
    <n v="25000"/>
    <x v="1"/>
    <n v="125000"/>
    <s v="Tanya Sethi"/>
    <x v="0"/>
  </r>
  <r>
    <n v="1423"/>
    <s v="12-Dec-2024"/>
    <s v="C129"/>
    <s v="P207"/>
    <n v="3"/>
    <x v="2"/>
    <x v="1"/>
    <n v="1500"/>
    <x v="2"/>
    <n v="4500"/>
    <s v="Karan Mehta"/>
    <x v="6"/>
  </r>
  <r>
    <n v="1424"/>
    <s v="31-Oct-2024"/>
    <s v="C176"/>
    <s v="P209"/>
    <n v="4"/>
    <x v="1"/>
    <x v="1"/>
    <n v="1800"/>
    <x v="11"/>
    <n v="7200"/>
    <s v="Priya Kapoor"/>
    <x v="2"/>
  </r>
  <r>
    <n v="1425"/>
    <s v="25-Aug-2024"/>
    <s v="C126"/>
    <s v="P208"/>
    <n v="4"/>
    <x v="8"/>
    <x v="1"/>
    <n v="2500"/>
    <x v="7"/>
    <n v="10000"/>
    <s v="Sneha Iyer"/>
    <x v="1"/>
  </r>
  <r>
    <n v="1426"/>
    <s v="09-Nov-2024"/>
    <s v="C167"/>
    <s v="P207"/>
    <n v="5"/>
    <x v="5"/>
    <x v="1"/>
    <n v="1500"/>
    <x v="0"/>
    <n v="7500"/>
    <s v="Rohit Sen"/>
    <x v="6"/>
  </r>
  <r>
    <n v="1427"/>
    <s v="02-Feb-2024"/>
    <s v="C146"/>
    <s v="P202"/>
    <n v="1"/>
    <x v="3"/>
    <x v="2"/>
    <n v="20000"/>
    <x v="10"/>
    <n v="20000"/>
    <s v="Sneha Iyer"/>
    <x v="7"/>
  </r>
  <r>
    <n v="1428"/>
    <s v="10-Jun-2024"/>
    <s v="C129"/>
    <s v="P206"/>
    <n v="2"/>
    <x v="2"/>
    <x v="0"/>
    <n v="25000"/>
    <x v="8"/>
    <n v="50000"/>
    <s v="Karan Mehta"/>
    <x v="0"/>
  </r>
  <r>
    <n v="1429"/>
    <s v="02-Jan-2024"/>
    <s v="C116"/>
    <s v="P208"/>
    <n v="3"/>
    <x v="5"/>
    <x v="1"/>
    <n v="2500"/>
    <x v="1"/>
    <n v="7500"/>
    <s v="Tanya Sethi"/>
    <x v="1"/>
  </r>
  <r>
    <n v="1430"/>
    <s v="13-Feb-2024"/>
    <s v="C120"/>
    <s v="P206"/>
    <n v="4"/>
    <x v="1"/>
    <x v="0"/>
    <n v="25000"/>
    <x v="10"/>
    <n v="100000"/>
    <s v="Nitin Joshi"/>
    <x v="0"/>
  </r>
  <r>
    <n v="1431"/>
    <s v="29-Jul-2024"/>
    <s v="C148"/>
    <s v="P207"/>
    <n v="2"/>
    <x v="0"/>
    <x v="1"/>
    <n v="1500"/>
    <x v="6"/>
    <n v="3000"/>
    <s v="Priya Kapoor"/>
    <x v="6"/>
  </r>
  <r>
    <n v="1432"/>
    <s v="05-Jul-2024"/>
    <s v="C163"/>
    <s v="P209"/>
    <n v="4"/>
    <x v="1"/>
    <x v="1"/>
    <n v="1800"/>
    <x v="6"/>
    <n v="7200"/>
    <s v="Ankit Roy"/>
    <x v="2"/>
  </r>
  <r>
    <n v="1433"/>
    <s v="10-Dec-2024"/>
    <s v="C188"/>
    <s v="P203"/>
    <n v="3"/>
    <x v="8"/>
    <x v="2"/>
    <n v="15000"/>
    <x v="2"/>
    <n v="45000"/>
    <s v="Arjun Malhotra"/>
    <x v="3"/>
  </r>
  <r>
    <n v="1434"/>
    <s v="11-Dec-2024"/>
    <s v="C129"/>
    <s v="P206"/>
    <n v="3"/>
    <x v="2"/>
    <x v="0"/>
    <n v="25000"/>
    <x v="2"/>
    <n v="75000"/>
    <s v="Karan Mehta"/>
    <x v="0"/>
  </r>
  <r>
    <n v="1435"/>
    <s v="14-Feb-2024"/>
    <s v="C109"/>
    <s v="P203"/>
    <n v="3"/>
    <x v="5"/>
    <x v="2"/>
    <n v="15000"/>
    <x v="10"/>
    <n v="45000"/>
    <s v="Tanya Sethi"/>
    <x v="3"/>
  </r>
  <r>
    <n v="1436"/>
    <s v="10-Jun-2024"/>
    <s v="C109"/>
    <s v="P203"/>
    <n v="3"/>
    <x v="5"/>
    <x v="2"/>
    <n v="15000"/>
    <x v="8"/>
    <n v="45000"/>
    <s v="Tanya Sethi"/>
    <x v="3"/>
  </r>
  <r>
    <n v="1437"/>
    <s v="31-Aug-2024"/>
    <s v="C163"/>
    <s v="P209"/>
    <n v="5"/>
    <x v="1"/>
    <x v="1"/>
    <n v="1800"/>
    <x v="7"/>
    <n v="9000"/>
    <s v="Ankit Roy"/>
    <x v="2"/>
  </r>
  <r>
    <n v="1438"/>
    <s v="30-Mar-2024"/>
    <s v="C115"/>
    <s v="P203"/>
    <n v="3"/>
    <x v="7"/>
    <x v="2"/>
    <n v="15000"/>
    <x v="4"/>
    <n v="45000"/>
    <s v="Karan Mehta"/>
    <x v="3"/>
  </r>
  <r>
    <n v="1439"/>
    <s v="11-Feb-2024"/>
    <s v="C172"/>
    <s v="P201"/>
    <n v="5"/>
    <x v="1"/>
    <x v="2"/>
    <n v="50000"/>
    <x v="10"/>
    <n v="250000"/>
    <s v="Manav Arora"/>
    <x v="8"/>
  </r>
  <r>
    <n v="1440"/>
    <s v="14-Aug-2024"/>
    <s v="C139"/>
    <s v="P207"/>
    <n v="2"/>
    <x v="4"/>
    <x v="1"/>
    <n v="1500"/>
    <x v="7"/>
    <n v="3000"/>
    <s v="Arjun Malhotra"/>
    <x v="6"/>
  </r>
  <r>
    <n v="1441"/>
    <s v="26-Jan-2024"/>
    <s v="C182"/>
    <s v="P202"/>
    <n v="3"/>
    <x v="3"/>
    <x v="2"/>
    <n v="20000"/>
    <x v="1"/>
    <n v="60000"/>
    <s v="Rohit Sen"/>
    <x v="7"/>
  </r>
  <r>
    <n v="1442"/>
    <s v="13-Sep-2024"/>
    <s v="C111"/>
    <s v="P208"/>
    <n v="1"/>
    <x v="8"/>
    <x v="1"/>
    <n v="2500"/>
    <x v="9"/>
    <n v="2500"/>
    <s v="Sejal Shah"/>
    <x v="1"/>
  </r>
  <r>
    <n v="1443"/>
    <s v="08-Mar-2024"/>
    <s v="C164"/>
    <s v="P202"/>
    <n v="1"/>
    <x v="7"/>
    <x v="2"/>
    <n v="20000"/>
    <x v="4"/>
    <n v="20000"/>
    <s v="Tanya Sethi"/>
    <x v="7"/>
  </r>
  <r>
    <n v="1444"/>
    <s v="14-Oct-2024"/>
    <s v="C136"/>
    <s v="P208"/>
    <n v="4"/>
    <x v="6"/>
    <x v="1"/>
    <n v="2500"/>
    <x v="11"/>
    <n v="10000"/>
    <s v="Sneha Iyer"/>
    <x v="1"/>
  </r>
  <r>
    <n v="1445"/>
    <s v="02-Nov-2024"/>
    <s v="C129"/>
    <s v="P210"/>
    <n v="3"/>
    <x v="2"/>
    <x v="1"/>
    <n v="3500"/>
    <x v="0"/>
    <n v="10500"/>
    <s v="Karan Mehta"/>
    <x v="4"/>
  </r>
  <r>
    <n v="1446"/>
    <s v="04-Nov-2024"/>
    <s v="C197"/>
    <s v="P207"/>
    <n v="5"/>
    <x v="8"/>
    <x v="1"/>
    <n v="1500"/>
    <x v="0"/>
    <n v="7500"/>
    <s v="Neha Singh"/>
    <x v="6"/>
  </r>
  <r>
    <n v="1447"/>
    <s v="25-Jul-2024"/>
    <s v="C129"/>
    <s v="P209"/>
    <n v="3"/>
    <x v="2"/>
    <x v="1"/>
    <n v="1800"/>
    <x v="6"/>
    <n v="5400"/>
    <s v="Karan Mehta"/>
    <x v="2"/>
  </r>
  <r>
    <n v="1448"/>
    <s v="10-Oct-2024"/>
    <s v="C107"/>
    <s v="P209"/>
    <n v="1"/>
    <x v="6"/>
    <x v="1"/>
    <n v="1800"/>
    <x v="11"/>
    <n v="1800"/>
    <s v="Pooja Jain"/>
    <x v="2"/>
  </r>
  <r>
    <n v="1449"/>
    <s v="04-May-2024"/>
    <s v="C181"/>
    <s v="P205"/>
    <n v="5"/>
    <x v="1"/>
    <x v="0"/>
    <n v="7000"/>
    <x v="3"/>
    <n v="35000"/>
    <s v="Manav Arora"/>
    <x v="9"/>
  </r>
  <r>
    <n v="1450"/>
    <s v="15-May-2024"/>
    <s v="C198"/>
    <s v="P210"/>
    <n v="2"/>
    <x v="3"/>
    <x v="1"/>
    <n v="3500"/>
    <x v="3"/>
    <n v="7000"/>
    <s v="Karan Mehta"/>
    <x v="4"/>
  </r>
  <r>
    <n v="1451"/>
    <s v="11-May-2024"/>
    <s v="C111"/>
    <s v="P210"/>
    <n v="4"/>
    <x v="8"/>
    <x v="1"/>
    <n v="3500"/>
    <x v="3"/>
    <n v="14000"/>
    <s v="Sejal Shah"/>
    <x v="4"/>
  </r>
  <r>
    <n v="1452"/>
    <s v="10-Aug-2024"/>
    <s v="C178"/>
    <s v="P210"/>
    <n v="3"/>
    <x v="3"/>
    <x v="1"/>
    <n v="3500"/>
    <x v="7"/>
    <n v="10500"/>
    <s v="Nitin Joshi"/>
    <x v="4"/>
  </r>
  <r>
    <n v="1453"/>
    <s v="29-May-2024"/>
    <s v="C104"/>
    <s v="P207"/>
    <n v="2"/>
    <x v="8"/>
    <x v="1"/>
    <n v="1500"/>
    <x v="3"/>
    <n v="3000"/>
    <s v="Sneha Iyer"/>
    <x v="6"/>
  </r>
  <r>
    <n v="1454"/>
    <s v="25-Feb-2024"/>
    <s v="C153"/>
    <s v="P206"/>
    <n v="3"/>
    <x v="2"/>
    <x v="0"/>
    <n v="25000"/>
    <x v="10"/>
    <n v="75000"/>
    <s v="Priya Kapoor"/>
    <x v="0"/>
  </r>
  <r>
    <n v="1455"/>
    <s v="21-Dec-2024"/>
    <s v="C121"/>
    <s v="P203"/>
    <n v="2"/>
    <x v="2"/>
    <x v="2"/>
    <n v="15000"/>
    <x v="2"/>
    <n v="30000"/>
    <s v="Manav Arora"/>
    <x v="3"/>
  </r>
  <r>
    <n v="1456"/>
    <s v="08-Apr-2024"/>
    <s v="C150"/>
    <s v="P201"/>
    <n v="2"/>
    <x v="5"/>
    <x v="2"/>
    <n v="50000"/>
    <x v="5"/>
    <n v="100000"/>
    <s v="Arjun Malhotra"/>
    <x v="8"/>
  </r>
  <r>
    <n v="1457"/>
    <s v="26-Oct-2024"/>
    <s v="C115"/>
    <s v="P208"/>
    <n v="2"/>
    <x v="7"/>
    <x v="1"/>
    <n v="2500"/>
    <x v="11"/>
    <n v="5000"/>
    <s v="Karan Mehta"/>
    <x v="1"/>
  </r>
  <r>
    <n v="1458"/>
    <s v="08-Jan-2024"/>
    <s v="C172"/>
    <s v="P204"/>
    <n v="3"/>
    <x v="1"/>
    <x v="0"/>
    <n v="3000"/>
    <x v="1"/>
    <n v="9000"/>
    <s v="Manav Arora"/>
    <x v="5"/>
  </r>
  <r>
    <n v="1459"/>
    <s v="01-May-2024"/>
    <s v="C139"/>
    <s v="P208"/>
    <n v="3"/>
    <x v="4"/>
    <x v="1"/>
    <n v="2500"/>
    <x v="3"/>
    <n v="7500"/>
    <s v="Arjun Malhotra"/>
    <x v="1"/>
  </r>
  <r>
    <n v="1460"/>
    <s v="17-Nov-2024"/>
    <s v="C153"/>
    <s v="P204"/>
    <n v="3"/>
    <x v="2"/>
    <x v="0"/>
    <n v="3000"/>
    <x v="0"/>
    <n v="9000"/>
    <s v="Priya Kapoor"/>
    <x v="5"/>
  </r>
  <r>
    <n v="1461"/>
    <s v="21-Sep-2024"/>
    <s v="C200"/>
    <s v="P205"/>
    <n v="3"/>
    <x v="9"/>
    <x v="0"/>
    <n v="7000"/>
    <x v="9"/>
    <n v="21000"/>
    <s v="Ravi Patel"/>
    <x v="9"/>
  </r>
  <r>
    <n v="1462"/>
    <s v="12-Feb-2024"/>
    <s v="C120"/>
    <s v="P202"/>
    <n v="2"/>
    <x v="1"/>
    <x v="2"/>
    <n v="20000"/>
    <x v="10"/>
    <n v="40000"/>
    <s v="Nitin Joshi"/>
    <x v="7"/>
  </r>
  <r>
    <n v="1463"/>
    <s v="14-Jun-2024"/>
    <s v="C187"/>
    <s v="P205"/>
    <n v="5"/>
    <x v="7"/>
    <x v="0"/>
    <n v="7000"/>
    <x v="8"/>
    <n v="35000"/>
    <s v="Arjun Malhotra"/>
    <x v="9"/>
  </r>
  <r>
    <n v="1464"/>
    <s v="18-Apr-2024"/>
    <s v="C147"/>
    <s v="P205"/>
    <n v="2"/>
    <x v="0"/>
    <x v="0"/>
    <n v="7000"/>
    <x v="5"/>
    <n v="14000"/>
    <s v="Riya Das"/>
    <x v="9"/>
  </r>
  <r>
    <n v="1465"/>
    <s v="22-Sep-2024"/>
    <s v="C120"/>
    <s v="P205"/>
    <n v="2"/>
    <x v="1"/>
    <x v="0"/>
    <n v="7000"/>
    <x v="9"/>
    <n v="14000"/>
    <s v="Nitin Joshi"/>
    <x v="9"/>
  </r>
  <r>
    <n v="1466"/>
    <s v="10-Apr-2024"/>
    <s v="C129"/>
    <s v="P202"/>
    <n v="4"/>
    <x v="2"/>
    <x v="2"/>
    <n v="20000"/>
    <x v="5"/>
    <n v="80000"/>
    <s v="Karan Mehta"/>
    <x v="7"/>
  </r>
  <r>
    <n v="1467"/>
    <s v="27-Jul-2024"/>
    <s v="C171"/>
    <s v="P206"/>
    <n v="4"/>
    <x v="8"/>
    <x v="0"/>
    <n v="25000"/>
    <x v="6"/>
    <n v="100000"/>
    <s v="Rahul Sharma"/>
    <x v="0"/>
  </r>
  <r>
    <n v="1468"/>
    <s v="08-Dec-2024"/>
    <s v="C164"/>
    <s v="P206"/>
    <n v="2"/>
    <x v="7"/>
    <x v="0"/>
    <n v="25000"/>
    <x v="2"/>
    <n v="50000"/>
    <s v="Tanya Sethi"/>
    <x v="0"/>
  </r>
  <r>
    <n v="1469"/>
    <s v="08-Oct-2024"/>
    <s v="C116"/>
    <s v="P205"/>
    <n v="3"/>
    <x v="5"/>
    <x v="0"/>
    <n v="7000"/>
    <x v="11"/>
    <n v="21000"/>
    <s v="Tanya Sethi"/>
    <x v="9"/>
  </r>
  <r>
    <n v="1470"/>
    <s v="20-Oct-2024"/>
    <s v="C141"/>
    <s v="P203"/>
    <n v="2"/>
    <x v="7"/>
    <x v="2"/>
    <n v="15000"/>
    <x v="11"/>
    <n v="30000"/>
    <s v="Amit Verma"/>
    <x v="3"/>
  </r>
  <r>
    <n v="1471"/>
    <s v="01-Jun-2024"/>
    <s v="C118"/>
    <s v="P204"/>
    <n v="3"/>
    <x v="0"/>
    <x v="0"/>
    <n v="3000"/>
    <x v="8"/>
    <n v="9000"/>
    <s v="Neha Singh"/>
    <x v="5"/>
  </r>
  <r>
    <n v="1472"/>
    <s v="10-May-2024"/>
    <s v="C145"/>
    <s v="P210"/>
    <n v="5"/>
    <x v="1"/>
    <x v="1"/>
    <n v="3500"/>
    <x v="3"/>
    <n v="17500"/>
    <s v="Nitin Joshi"/>
    <x v="4"/>
  </r>
  <r>
    <n v="1473"/>
    <s v="18-Jan-2024"/>
    <s v="C110"/>
    <s v="P209"/>
    <n v="4"/>
    <x v="0"/>
    <x v="1"/>
    <n v="1800"/>
    <x v="1"/>
    <n v="7200"/>
    <s v="Arjun Malhotra"/>
    <x v="2"/>
  </r>
  <r>
    <n v="1474"/>
    <s v="17-Sep-2024"/>
    <s v="C153"/>
    <s v="P202"/>
    <n v="3"/>
    <x v="2"/>
    <x v="2"/>
    <n v="20000"/>
    <x v="9"/>
    <n v="60000"/>
    <s v="Priya Kapoor"/>
    <x v="7"/>
  </r>
  <r>
    <n v="1475"/>
    <s v="16-Aug-2024"/>
    <s v="C151"/>
    <s v="P206"/>
    <n v="5"/>
    <x v="3"/>
    <x v="0"/>
    <n v="25000"/>
    <x v="7"/>
    <n v="125000"/>
    <s v="Arjun Malhotra"/>
    <x v="0"/>
  </r>
  <r>
    <n v="1476"/>
    <s v="01-Mar-2024"/>
    <s v="C134"/>
    <s v="P208"/>
    <n v="2"/>
    <x v="7"/>
    <x v="1"/>
    <n v="2500"/>
    <x v="4"/>
    <n v="5000"/>
    <s v="Ravi Patel"/>
    <x v="1"/>
  </r>
  <r>
    <n v="1477"/>
    <s v="05-Apr-2024"/>
    <s v="C183"/>
    <s v="P209"/>
    <n v="1"/>
    <x v="3"/>
    <x v="1"/>
    <n v="1800"/>
    <x v="5"/>
    <n v="1800"/>
    <s v="Ishita Bose"/>
    <x v="2"/>
  </r>
  <r>
    <n v="1478"/>
    <s v="23-Jul-2024"/>
    <s v="C124"/>
    <s v="P206"/>
    <n v="2"/>
    <x v="3"/>
    <x v="0"/>
    <n v="25000"/>
    <x v="6"/>
    <n v="50000"/>
    <s v="Rahul Sharma"/>
    <x v="0"/>
  </r>
  <r>
    <n v="1479"/>
    <s v="13-Oct-2024"/>
    <s v="C174"/>
    <s v="P207"/>
    <n v="1"/>
    <x v="0"/>
    <x v="1"/>
    <n v="1500"/>
    <x v="11"/>
    <n v="1500"/>
    <s v="Amit Verma"/>
    <x v="6"/>
  </r>
  <r>
    <n v="1480"/>
    <s v="17-Apr-2024"/>
    <s v="C161"/>
    <s v="P206"/>
    <n v="4"/>
    <x v="9"/>
    <x v="0"/>
    <n v="25000"/>
    <x v="5"/>
    <n v="100000"/>
    <s v="Karan Mehta"/>
    <x v="0"/>
  </r>
  <r>
    <n v="1481"/>
    <s v="05-Jul-2024"/>
    <s v="C168"/>
    <s v="P206"/>
    <n v="3"/>
    <x v="2"/>
    <x v="0"/>
    <n v="25000"/>
    <x v="6"/>
    <n v="75000"/>
    <s v="Pooja Jain"/>
    <x v="0"/>
  </r>
  <r>
    <n v="1482"/>
    <s v="10-Dec-2024"/>
    <s v="C113"/>
    <s v="P210"/>
    <n v="3"/>
    <x v="0"/>
    <x v="1"/>
    <n v="3500"/>
    <x v="2"/>
    <n v="10500"/>
    <s v="Priya Kapoor"/>
    <x v="4"/>
  </r>
  <r>
    <n v="1483"/>
    <s v="17-Nov-2024"/>
    <s v="C137"/>
    <s v="P205"/>
    <n v="3"/>
    <x v="0"/>
    <x v="0"/>
    <n v="7000"/>
    <x v="0"/>
    <n v="21000"/>
    <s v="Sejal Shah"/>
    <x v="9"/>
  </r>
  <r>
    <n v="1484"/>
    <s v="01-Sep-2024"/>
    <s v="C149"/>
    <s v="P207"/>
    <n v="3"/>
    <x v="1"/>
    <x v="1"/>
    <n v="1500"/>
    <x v="9"/>
    <n v="4500"/>
    <s v="Rahul Sharma"/>
    <x v="6"/>
  </r>
  <r>
    <n v="1485"/>
    <s v="20-Jan-2024"/>
    <s v="C131"/>
    <s v="P202"/>
    <n v="1"/>
    <x v="2"/>
    <x v="2"/>
    <n v="20000"/>
    <x v="1"/>
    <n v="20000"/>
    <s v="Rohit Sen"/>
    <x v="7"/>
  </r>
  <r>
    <n v="1486"/>
    <s v="19-Aug-2024"/>
    <s v="C101"/>
    <s v="P203"/>
    <n v="1"/>
    <x v="1"/>
    <x v="2"/>
    <n v="15000"/>
    <x v="7"/>
    <n v="15000"/>
    <s v="Amit Verma"/>
    <x v="3"/>
  </r>
  <r>
    <n v="1487"/>
    <s v="29-Aug-2024"/>
    <s v="C174"/>
    <s v="P203"/>
    <n v="3"/>
    <x v="0"/>
    <x v="2"/>
    <n v="15000"/>
    <x v="7"/>
    <n v="45000"/>
    <s v="Amit Verma"/>
    <x v="3"/>
  </r>
  <r>
    <n v="1488"/>
    <s v="06-Jun-2024"/>
    <s v="C151"/>
    <s v="P203"/>
    <n v="5"/>
    <x v="3"/>
    <x v="2"/>
    <n v="15000"/>
    <x v="8"/>
    <n v="75000"/>
    <s v="Arjun Malhotra"/>
    <x v="3"/>
  </r>
  <r>
    <n v="1489"/>
    <s v="15-Aug-2024"/>
    <s v="C194"/>
    <s v="P210"/>
    <n v="4"/>
    <x v="3"/>
    <x v="1"/>
    <n v="3500"/>
    <x v="7"/>
    <n v="14000"/>
    <s v="Sejal Shah"/>
    <x v="4"/>
  </r>
  <r>
    <n v="1490"/>
    <s v="26-Aug-2024"/>
    <s v="C195"/>
    <s v="P204"/>
    <n v="4"/>
    <x v="4"/>
    <x v="0"/>
    <n v="3000"/>
    <x v="7"/>
    <n v="12000"/>
    <s v="Ravi Patel"/>
    <x v="5"/>
  </r>
  <r>
    <n v="1491"/>
    <s v="17-Aug-2024"/>
    <s v="C108"/>
    <s v="P204"/>
    <n v="5"/>
    <x v="2"/>
    <x v="0"/>
    <n v="3000"/>
    <x v="7"/>
    <n v="15000"/>
    <s v="Komal Gupta"/>
    <x v="5"/>
  </r>
  <r>
    <n v="1492"/>
    <s v="18-Aug-2024"/>
    <s v="C177"/>
    <s v="P207"/>
    <n v="1"/>
    <x v="2"/>
    <x v="1"/>
    <n v="1500"/>
    <x v="7"/>
    <n v="1500"/>
    <s v="Komal Gupta"/>
    <x v="6"/>
  </r>
  <r>
    <n v="1493"/>
    <s v="12-Sep-2024"/>
    <s v="C128"/>
    <s v="P208"/>
    <n v="5"/>
    <x v="9"/>
    <x v="1"/>
    <n v="2500"/>
    <x v="9"/>
    <n v="12500"/>
    <s v="Neha Singh"/>
    <x v="1"/>
  </r>
  <r>
    <n v="1494"/>
    <s v="05-Apr-2024"/>
    <s v="C179"/>
    <s v="P208"/>
    <n v="1"/>
    <x v="7"/>
    <x v="1"/>
    <n v="2500"/>
    <x v="5"/>
    <n v="2500"/>
    <s v="Meera Kulkarni"/>
    <x v="1"/>
  </r>
  <r>
    <n v="1495"/>
    <s v="10-Jul-2024"/>
    <s v="C132"/>
    <s v="P202"/>
    <n v="1"/>
    <x v="7"/>
    <x v="2"/>
    <n v="20000"/>
    <x v="6"/>
    <n v="20000"/>
    <s v="Amit Verma"/>
    <x v="7"/>
  </r>
  <r>
    <n v="1496"/>
    <s v="29-Feb-2024"/>
    <s v="C141"/>
    <s v="P206"/>
    <n v="1"/>
    <x v="7"/>
    <x v="0"/>
    <n v="25000"/>
    <x v="10"/>
    <n v="25000"/>
    <s v="Amit Verma"/>
    <x v="0"/>
  </r>
  <r>
    <n v="1497"/>
    <s v="04-May-2024"/>
    <s v="C111"/>
    <s v="P205"/>
    <n v="2"/>
    <x v="8"/>
    <x v="0"/>
    <n v="7000"/>
    <x v="3"/>
    <n v="14000"/>
    <s v="Sejal Shah"/>
    <x v="9"/>
  </r>
  <r>
    <n v="1498"/>
    <s v="01-Sep-2024"/>
    <s v="C181"/>
    <s v="P210"/>
    <n v="5"/>
    <x v="1"/>
    <x v="1"/>
    <n v="3500"/>
    <x v="9"/>
    <n v="17500"/>
    <s v="Manav Arora"/>
    <x v="4"/>
  </r>
  <r>
    <n v="1499"/>
    <s v="20-Jan-2024"/>
    <s v="C115"/>
    <s v="P206"/>
    <n v="2"/>
    <x v="7"/>
    <x v="0"/>
    <n v="25000"/>
    <x v="1"/>
    <n v="50000"/>
    <s v="Karan Mehta"/>
    <x v="0"/>
  </r>
  <r>
    <n v="1500"/>
    <s v="29-Nov-2024"/>
    <s v="C181"/>
    <s v="P206"/>
    <n v="2"/>
    <x v="1"/>
    <x v="0"/>
    <n v="25000"/>
    <x v="0"/>
    <n v="50000"/>
    <s v="Manav Arora"/>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FF639E-C3CC-4184-BD78-98E21D45869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5:N11" firstHeaderRow="1" firstDataRow="1" firstDataCol="1"/>
  <pivotFields count="12">
    <pivotField showAll="0"/>
    <pivotField showAll="0"/>
    <pivotField showAll="0"/>
    <pivotField showAll="0"/>
    <pivotField showAll="0"/>
    <pivotField showAll="0">
      <items count="11">
        <item x="0"/>
        <item x="2"/>
        <item x="8"/>
        <item x="7"/>
        <item x="6"/>
        <item x="9"/>
        <item x="5"/>
        <item x="1"/>
        <item x="3"/>
        <item x="4"/>
        <item t="default"/>
      </items>
    </pivotField>
    <pivotField showAll="0">
      <items count="4">
        <item x="1"/>
        <item x="2"/>
        <item x="0"/>
        <item t="default"/>
      </items>
    </pivotField>
    <pivotField showAll="0"/>
    <pivotField showAll="0">
      <items count="13">
        <item x="1"/>
        <item x="10"/>
        <item x="4"/>
        <item x="5"/>
        <item x="3"/>
        <item x="8"/>
        <item x="6"/>
        <item x="7"/>
        <item x="9"/>
        <item x="11"/>
        <item x="0"/>
        <item x="2"/>
        <item t="default"/>
      </items>
    </pivotField>
    <pivotField dataField="1" showAll="0"/>
    <pivotField showAll="0"/>
    <pivotField axis="axisRow" showAll="0" measureFilter="1" sortType="descending">
      <items count="11">
        <item x="6"/>
        <item x="3"/>
        <item x="9"/>
        <item x="0"/>
        <item x="4"/>
        <item x="2"/>
        <item x="7"/>
        <item x="8"/>
        <item x="1"/>
        <item x="5"/>
        <item t="default"/>
      </items>
      <autoSortScope>
        <pivotArea dataOnly="0" outline="0" fieldPosition="0">
          <references count="1">
            <reference field="4294967294" count="1" selected="0">
              <x v="0"/>
            </reference>
          </references>
        </pivotArea>
      </autoSortScope>
    </pivotField>
  </pivotFields>
  <rowFields count="1">
    <field x="11"/>
  </rowFields>
  <rowItems count="6">
    <i>
      <x v="7"/>
    </i>
    <i>
      <x v="3"/>
    </i>
    <i>
      <x v="6"/>
    </i>
    <i>
      <x v="1"/>
    </i>
    <i>
      <x v="2"/>
    </i>
    <i t="grand">
      <x/>
    </i>
  </rowItems>
  <colItems count="1">
    <i/>
  </colItems>
  <dataFields count="1">
    <dataField name="Sum of Sales" fld="9" baseField="0" baseItem="0"/>
  </dataFields>
  <formats count="6">
    <format dxfId="19">
      <pivotArea type="all" dataOnly="0" outline="0" fieldPosition="0"/>
    </format>
    <format dxfId="18">
      <pivotArea outline="0" collapsedLevelsAreSubtotals="1" fieldPosition="0"/>
    </format>
    <format dxfId="17">
      <pivotArea field="11" type="button" dataOnly="0" labelOnly="1" outline="0" axis="axisRow" fieldPosition="0"/>
    </format>
    <format dxfId="16">
      <pivotArea dataOnly="0" labelOnly="1" fieldPosition="0">
        <references count="1">
          <reference field="11" count="5">
            <x v="1"/>
            <x v="2"/>
            <x v="3"/>
            <x v="6"/>
            <x v="7"/>
          </reference>
        </references>
      </pivotArea>
    </format>
    <format dxfId="15">
      <pivotArea dataOnly="0" labelOnly="1" grandRow="1" outline="0" fieldPosition="0"/>
    </format>
    <format dxfId="1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5794BB-10C8-41A7-921F-7E04D44F34D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I5:J18" firstHeaderRow="1" firstDataRow="1" firstDataCol="1"/>
  <pivotFields count="12">
    <pivotField showAll="0"/>
    <pivotField showAll="0"/>
    <pivotField showAll="0"/>
    <pivotField showAll="0"/>
    <pivotField showAll="0"/>
    <pivotField showAll="0">
      <items count="11">
        <item x="0"/>
        <item x="2"/>
        <item x="8"/>
        <item x="7"/>
        <item x="6"/>
        <item x="9"/>
        <item x="5"/>
        <item x="1"/>
        <item x="3"/>
        <item x="4"/>
        <item t="default"/>
      </items>
    </pivotField>
    <pivotField showAll="0">
      <items count="4">
        <item x="1"/>
        <item x="2"/>
        <item x="0"/>
        <item t="default"/>
      </items>
    </pivotField>
    <pivotField showAll="0"/>
    <pivotField axis="axisRow" showAll="0">
      <items count="13">
        <item x="1"/>
        <item x="10"/>
        <item x="4"/>
        <item x="5"/>
        <item x="3"/>
        <item x="8"/>
        <item x="6"/>
        <item x="7"/>
        <item x="9"/>
        <item x="11"/>
        <item x="0"/>
        <item x="2"/>
        <item t="default"/>
      </items>
    </pivotField>
    <pivotField dataField="1" showAll="0"/>
    <pivotField showAll="0"/>
    <pivotField showAll="0"/>
  </pivotFields>
  <rowFields count="1">
    <field x="8"/>
  </rowFields>
  <rowItems count="13">
    <i>
      <x/>
    </i>
    <i>
      <x v="1"/>
    </i>
    <i>
      <x v="2"/>
    </i>
    <i>
      <x v="3"/>
    </i>
    <i>
      <x v="4"/>
    </i>
    <i>
      <x v="5"/>
    </i>
    <i>
      <x v="6"/>
    </i>
    <i>
      <x v="7"/>
    </i>
    <i>
      <x v="8"/>
    </i>
    <i>
      <x v="9"/>
    </i>
    <i>
      <x v="10"/>
    </i>
    <i>
      <x v="11"/>
    </i>
    <i t="grand">
      <x/>
    </i>
  </rowItems>
  <colItems count="1">
    <i/>
  </colItems>
  <dataFields count="1">
    <dataField name="Sum of Sales" fld="9" baseField="0" baseItem="0"/>
  </dataFields>
  <formats count="6">
    <format dxfId="25">
      <pivotArea type="all" dataOnly="0" outline="0" fieldPosition="0"/>
    </format>
    <format dxfId="24">
      <pivotArea outline="0" collapsedLevelsAreSubtotals="1" fieldPosition="0"/>
    </format>
    <format dxfId="23">
      <pivotArea field="8" type="button" dataOnly="0" labelOnly="1" outline="0" axis="axisRow" fieldPosition="0"/>
    </format>
    <format dxfId="22">
      <pivotArea dataOnly="0" labelOnly="1" fieldPosition="0">
        <references count="1">
          <reference field="8" count="0"/>
        </references>
      </pivotArea>
    </format>
    <format dxfId="21">
      <pivotArea dataOnly="0" labelOnly="1" grandRow="1" outline="0" fieldPosition="0"/>
    </format>
    <format dxfId="2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43344D-4062-4097-84A3-18658667A62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E5:F16" firstHeaderRow="1" firstDataRow="1" firstDataCol="1"/>
  <pivotFields count="12">
    <pivotField showAll="0"/>
    <pivotField showAll="0"/>
    <pivotField showAll="0"/>
    <pivotField showAll="0"/>
    <pivotField showAll="0"/>
    <pivotField axis="axisRow" showAll="0">
      <items count="11">
        <item x="0"/>
        <item x="2"/>
        <item x="8"/>
        <item x="7"/>
        <item x="6"/>
        <item x="9"/>
        <item x="5"/>
        <item x="1"/>
        <item x="3"/>
        <item x="4"/>
        <item t="default"/>
      </items>
    </pivotField>
    <pivotField showAll="0">
      <items count="4">
        <item x="1"/>
        <item x="2"/>
        <item x="0"/>
        <item t="default"/>
      </items>
    </pivotField>
    <pivotField showAll="0"/>
    <pivotField showAll="0">
      <items count="13">
        <item x="1"/>
        <item x="10"/>
        <item x="4"/>
        <item x="5"/>
        <item x="3"/>
        <item x="8"/>
        <item x="6"/>
        <item x="7"/>
        <item x="9"/>
        <item x="11"/>
        <item x="0"/>
        <item x="2"/>
        <item t="default"/>
      </items>
    </pivotField>
    <pivotField dataField="1"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Sum of Sales" fld="9" baseField="0" baseItem="0"/>
  </dataFields>
  <formats count="6">
    <format dxfId="31">
      <pivotArea type="all" dataOnly="0" outline="0" fieldPosition="0"/>
    </format>
    <format dxfId="30">
      <pivotArea outline="0" collapsedLevelsAreSubtotals="1" fieldPosition="0"/>
    </format>
    <format dxfId="29">
      <pivotArea field="5" type="button" dataOnly="0" labelOnly="1" outline="0" axis="axisRow" fieldPosition="0"/>
    </format>
    <format dxfId="28">
      <pivotArea dataOnly="0" labelOnly="1" fieldPosition="0">
        <references count="1">
          <reference field="5" count="0"/>
        </references>
      </pivotArea>
    </format>
    <format dxfId="27">
      <pivotArea dataOnly="0" labelOnly="1" grandRow="1" outline="0" fieldPosition="0"/>
    </format>
    <format dxfId="2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D73BD8-CDB4-4330-87C9-9D0D57C0D6B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5:B9" firstHeaderRow="1" firstDataRow="1" firstDataCol="1"/>
  <pivotFields count="12">
    <pivotField showAll="0"/>
    <pivotField showAll="0"/>
    <pivotField showAll="0"/>
    <pivotField showAll="0"/>
    <pivotField showAll="0"/>
    <pivotField showAll="0">
      <items count="11">
        <item x="0"/>
        <item x="2"/>
        <item x="8"/>
        <item x="7"/>
        <item x="6"/>
        <item x="9"/>
        <item x="5"/>
        <item x="1"/>
        <item x="3"/>
        <item x="4"/>
        <item t="default"/>
      </items>
    </pivotField>
    <pivotField axis="axisRow" showAll="0">
      <items count="4">
        <item x="1"/>
        <item x="2"/>
        <item x="0"/>
        <item t="default"/>
      </items>
    </pivotField>
    <pivotField showAll="0"/>
    <pivotField showAll="0">
      <items count="13">
        <item x="1"/>
        <item x="10"/>
        <item x="4"/>
        <item x="5"/>
        <item x="3"/>
        <item x="8"/>
        <item x="6"/>
        <item x="7"/>
        <item x="9"/>
        <item x="11"/>
        <item x="0"/>
        <item x="2"/>
        <item t="default"/>
      </items>
    </pivotField>
    <pivotField dataField="1" showAll="0"/>
    <pivotField showAll="0"/>
    <pivotField showAll="0"/>
  </pivotFields>
  <rowFields count="1">
    <field x="6"/>
  </rowFields>
  <rowItems count="4">
    <i>
      <x/>
    </i>
    <i>
      <x v="1"/>
    </i>
    <i>
      <x v="2"/>
    </i>
    <i t="grand">
      <x/>
    </i>
  </rowItems>
  <colItems count="1">
    <i/>
  </colItems>
  <dataFields count="1">
    <dataField name="Sum of Sales" fld="9" baseField="0" baseItem="0"/>
  </dataFields>
  <formats count="6">
    <format dxfId="37">
      <pivotArea type="all" dataOnly="0" outline="0" fieldPosition="0"/>
    </format>
    <format dxfId="36">
      <pivotArea outline="0" collapsedLevelsAreSubtotals="1" fieldPosition="0"/>
    </format>
    <format dxfId="35">
      <pivotArea field="6" type="button" dataOnly="0" labelOnly="1" outline="0" axis="axisRow" fieldPosition="0"/>
    </format>
    <format dxfId="34">
      <pivotArea dataOnly="0" labelOnly="1" fieldPosition="0">
        <references count="1">
          <reference field="6" count="0"/>
        </references>
      </pivotArea>
    </format>
    <format dxfId="33">
      <pivotArea dataOnly="0" labelOnly="1" grandRow="1" outline="0" fieldPosition="0"/>
    </format>
    <format dxfId="3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B1F013F-05AD-4EBF-AD16-8698E9C7ECC0}" sourceName="City">
  <pivotTables>
    <pivotTable tabId="5" name="PivotTable8"/>
    <pivotTable tabId="5" name="PivotTable5"/>
    <pivotTable tabId="5" name="PivotTable6"/>
    <pivotTable tabId="5" name="PivotTable7"/>
  </pivotTables>
  <data>
    <tabular pivotCacheId="1467402905">
      <items count="10">
        <i x="0" s="1"/>
        <i x="2" s="1"/>
        <i x="8" s="1"/>
        <i x="7" s="1"/>
        <i x="6" s="1"/>
        <i x="9" s="1"/>
        <i x="5"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181A525-B0D9-4627-BBD8-229A62F27026}" sourceName="Month">
  <pivotTables>
    <pivotTable tabId="5" name="PivotTable8"/>
    <pivotTable tabId="5" name="PivotTable5"/>
    <pivotTable tabId="5" name="PivotTable6"/>
    <pivotTable tabId="5" name="PivotTable7"/>
  </pivotTables>
  <data>
    <tabular pivotCacheId="1467402905">
      <items count="12">
        <i x="1" s="1"/>
        <i x="10" s="1"/>
        <i x="4" s="1"/>
        <i x="5" s="1"/>
        <i x="3" s="1"/>
        <i x="8" s="1"/>
        <i x="6" s="1"/>
        <i x="7" s="1"/>
        <i x="9" s="1"/>
        <i x="1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D884C1-E589-422C-8FAB-7DF11DD38228}" sourceName="Category">
  <pivotTables>
    <pivotTable tabId="5" name="PivotTable5"/>
    <pivotTable tabId="5" name="PivotTable6"/>
    <pivotTable tabId="5" name="PivotTable7"/>
    <pivotTable tabId="5" name="PivotTable8"/>
  </pivotTables>
  <data>
    <tabular pivotCacheId="146740290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7DC24A1-1A22-4666-82FC-4CFE4C1E7D70}" cache="Slicer_City" caption="City" startItem="3" rowHeight="241300"/>
  <slicer name="Month" xr10:uid="{B3B6BE75-D06A-4A35-83C1-1D2D0CA14567}" cache="Slicer_Month" caption="Month" startItem="4" rowHeight="241300"/>
  <slicer name="Category" xr10:uid="{B989C81A-84FA-41C3-93BD-5468159187D1}"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BD2653-5B24-4B22-9DF9-C553D0D580EB}" name="Salesdata" displayName="Salesdata" ref="A1:L501" totalsRowShown="0" headerRowDxfId="13" dataDxfId="12">
  <autoFilter ref="A1:L501" xr:uid="{81BD2653-5B24-4B22-9DF9-C553D0D580EB}"/>
  <tableColumns count="12">
    <tableColumn id="1" xr3:uid="{E6BDD7CB-FFCF-47D5-9573-3F92696557EA}" name="Order ID" dataDxfId="11"/>
    <tableColumn id="2" xr3:uid="{3682776D-22DC-4D91-BD79-6576BD039377}" name="Date" dataDxfId="10"/>
    <tableColumn id="3" xr3:uid="{F02AA45F-E727-411D-B844-273B1D9966EF}" name="Customer ID" dataDxfId="9"/>
    <tableColumn id="4" xr3:uid="{4B14D98C-DDC4-4E0C-99CD-C89B10F8B462}" name="Product ID" dataDxfId="8"/>
    <tableColumn id="5" xr3:uid="{84010334-BC81-4370-A17D-4628FCA74C0A}" name="Quantity" dataDxfId="7"/>
    <tableColumn id="6" xr3:uid="{3A1FE6D7-F60F-4AA8-8B6E-04180430D4B5}" name="City" dataDxfId="6">
      <calculatedColumnFormula>_xlfn.XLOOKUP(C2,Customers!A:A,Customers!C:C,"MISSING")</calculatedColumnFormula>
    </tableColumn>
    <tableColumn id="7" xr3:uid="{658D5B13-C33A-41FA-A288-76FD3900C14B}" name="Category" dataDxfId="5">
      <calculatedColumnFormula>_xlfn.XLOOKUP(D2,Products!A:A,Products!C:C,"MISSING")</calculatedColumnFormula>
    </tableColumn>
    <tableColumn id="8" xr3:uid="{54100144-DD2D-4CFB-8FE7-86CCDA3DBF67}" name="Price" dataDxfId="4">
      <calculatedColumnFormula>_xlfn.XLOOKUP(D2,Products!A:A,Products!D:D,"MISSING")</calculatedColumnFormula>
    </tableColumn>
    <tableColumn id="9" xr3:uid="{00BDB4BE-E87C-4E93-94E6-F8F871145D18}" name="Month" dataDxfId="3">
      <calculatedColumnFormula>TEXT(B2,"mmm")</calculatedColumnFormula>
    </tableColumn>
    <tableColumn id="10" xr3:uid="{026DCD91-2CF2-4619-A5AF-95C692ECC2B6}" name="Sales" dataDxfId="2">
      <calculatedColumnFormula>E2*H2</calculatedColumnFormula>
    </tableColumn>
    <tableColumn id="11" xr3:uid="{7D69BBFE-90F2-4CE3-81B5-7CC7DCECD4D9}" name="Customer Name" dataDxfId="1">
      <calculatedColumnFormula>_xlfn.XLOOKUP(C2,Customers!A:A,Customers!B:B,"MISSING")</calculatedColumnFormula>
    </tableColumn>
    <tableColumn id="12" xr3:uid="{6133931B-4120-4830-AAA2-86394A0C39C9}" name="Product Name" dataDxfId="0">
      <calculatedColumnFormula>_xlfn.XLOOKUP(D2,Products!A:A,Products!B:B,"MISSING")</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A457A-612D-4498-A02B-C0A295F64C80}">
  <dimension ref="A1:W50"/>
  <sheetViews>
    <sheetView tabSelected="1" zoomScale="49" zoomScaleNormal="50" zoomScalePageLayoutView="22" workbookViewId="0">
      <selection activeCell="AD50" sqref="AD50"/>
    </sheetView>
  </sheetViews>
  <sheetFormatPr defaultRowHeight="14.5"/>
  <cols>
    <col min="1" max="1" width="17.26953125" bestFit="1" customWidth="1"/>
    <col min="2" max="2" width="13.81640625" bestFit="1" customWidth="1"/>
    <col min="5" max="5" width="17.26953125" bestFit="1" customWidth="1"/>
    <col min="6" max="6" width="13.81640625" bestFit="1" customWidth="1"/>
    <col min="7" max="7" width="9.1796875" customWidth="1"/>
    <col min="9" max="9" width="17.26953125" bestFit="1" customWidth="1"/>
    <col min="10" max="10" width="13.81640625" bestFit="1" customWidth="1"/>
    <col min="13" max="13" width="17.26953125" bestFit="1" customWidth="1"/>
    <col min="14" max="14" width="13.81640625" bestFit="1" customWidth="1"/>
  </cols>
  <sheetData>
    <row r="1" spans="1:23" ht="14.5" customHeight="1">
      <c r="A1" s="4" t="s">
        <v>463</v>
      </c>
      <c r="B1" s="4"/>
      <c r="C1" s="4"/>
      <c r="D1" s="4"/>
      <c r="E1" s="4"/>
      <c r="F1" s="4"/>
      <c r="G1" s="4"/>
      <c r="H1" s="4"/>
      <c r="I1" s="4"/>
      <c r="J1" s="4"/>
      <c r="K1" s="4"/>
      <c r="L1" s="4"/>
      <c r="M1" s="4"/>
      <c r="N1" s="4"/>
      <c r="O1" s="4"/>
      <c r="P1" s="4"/>
      <c r="Q1" s="4"/>
      <c r="R1" s="4"/>
      <c r="S1" s="4"/>
      <c r="T1" s="4"/>
      <c r="U1" s="4"/>
      <c r="V1" s="4"/>
      <c r="W1" s="4"/>
    </row>
    <row r="2" spans="1:23" ht="21" customHeight="1">
      <c r="A2" s="4"/>
      <c r="B2" s="4"/>
      <c r="C2" s="4"/>
      <c r="D2" s="4"/>
      <c r="E2" s="4"/>
      <c r="F2" s="4"/>
      <c r="G2" s="4"/>
      <c r="H2" s="4"/>
      <c r="I2" s="4"/>
      <c r="J2" s="4"/>
      <c r="K2" s="4"/>
      <c r="L2" s="4"/>
      <c r="M2" s="4"/>
      <c r="N2" s="4"/>
      <c r="O2" s="4"/>
      <c r="P2" s="4"/>
      <c r="Q2" s="4"/>
      <c r="R2" s="4"/>
      <c r="S2" s="4"/>
      <c r="T2" s="4"/>
      <c r="U2" s="4"/>
      <c r="V2" s="4"/>
      <c r="W2" s="4"/>
    </row>
    <row r="3" spans="1:23">
      <c r="A3" s="2"/>
      <c r="B3" s="2"/>
      <c r="C3" s="2"/>
      <c r="D3" s="2"/>
      <c r="E3" s="2"/>
      <c r="F3" s="2"/>
      <c r="G3" s="2"/>
      <c r="H3" s="2"/>
      <c r="I3" s="2"/>
      <c r="J3" s="2"/>
      <c r="K3" s="2"/>
      <c r="L3" s="2"/>
      <c r="M3" s="2"/>
      <c r="N3" s="2"/>
      <c r="O3" s="2"/>
      <c r="P3" s="2"/>
      <c r="Q3" s="2"/>
      <c r="R3" s="2"/>
      <c r="S3" s="2"/>
      <c r="T3" s="2"/>
      <c r="U3" s="2"/>
      <c r="V3" s="2"/>
      <c r="W3" s="2"/>
    </row>
    <row r="4" spans="1:23">
      <c r="A4" s="2"/>
      <c r="B4" s="2"/>
      <c r="C4" s="2"/>
      <c r="D4" s="2"/>
      <c r="E4" s="2"/>
      <c r="F4" s="2"/>
      <c r="G4" s="2"/>
      <c r="H4" s="2"/>
      <c r="I4" s="2"/>
      <c r="J4" s="2"/>
      <c r="K4" s="2"/>
      <c r="L4" s="2"/>
      <c r="M4" s="2"/>
      <c r="N4" s="2"/>
      <c r="O4" s="2"/>
      <c r="P4" s="2"/>
      <c r="Q4" s="2"/>
      <c r="R4" s="2"/>
      <c r="S4" s="2"/>
      <c r="T4" s="2"/>
      <c r="U4" s="2"/>
      <c r="V4" s="2"/>
      <c r="W4" s="2"/>
    </row>
    <row r="5" spans="1:23">
      <c r="A5" s="2" t="s">
        <v>447</v>
      </c>
      <c r="B5" s="2" t="s">
        <v>449</v>
      </c>
      <c r="C5" s="2"/>
      <c r="D5" s="2"/>
      <c r="E5" s="2" t="s">
        <v>447</v>
      </c>
      <c r="F5" s="2" t="s">
        <v>449</v>
      </c>
      <c r="G5" s="2"/>
      <c r="H5" s="2"/>
      <c r="I5" s="2" t="s">
        <v>447</v>
      </c>
      <c r="J5" s="2" t="s">
        <v>449</v>
      </c>
      <c r="K5" s="2"/>
      <c r="L5" s="2"/>
      <c r="M5" s="2" t="s">
        <v>447</v>
      </c>
      <c r="N5" s="2" t="s">
        <v>449</v>
      </c>
      <c r="O5" s="2"/>
      <c r="P5" s="2"/>
      <c r="Q5" s="2"/>
      <c r="R5" s="2"/>
      <c r="S5" s="2"/>
      <c r="T5" s="2"/>
      <c r="U5" s="2"/>
      <c r="V5" s="2"/>
      <c r="W5" s="2"/>
    </row>
    <row r="6" spans="1:23">
      <c r="A6" s="3" t="s">
        <v>153</v>
      </c>
      <c r="B6" s="2">
        <v>1379000</v>
      </c>
      <c r="C6" s="2"/>
      <c r="D6" s="2"/>
      <c r="E6" s="3" t="s">
        <v>28</v>
      </c>
      <c r="F6" s="2">
        <v>1974100</v>
      </c>
      <c r="G6" s="2"/>
      <c r="H6" s="2"/>
      <c r="I6" s="3" t="s">
        <v>450</v>
      </c>
      <c r="J6" s="2">
        <v>1425700</v>
      </c>
      <c r="K6" s="2"/>
      <c r="L6" s="2"/>
      <c r="M6" s="3" t="s">
        <v>138</v>
      </c>
      <c r="N6" s="2">
        <v>6050000</v>
      </c>
      <c r="O6" s="2"/>
      <c r="P6" s="2"/>
      <c r="Q6" s="2"/>
      <c r="R6" s="2"/>
      <c r="S6" s="2"/>
      <c r="T6" s="2"/>
      <c r="U6" s="2"/>
      <c r="V6" s="2"/>
      <c r="W6" s="2"/>
    </row>
    <row r="7" spans="1:23">
      <c r="A7" s="3" t="s">
        <v>139</v>
      </c>
      <c r="B7" s="2">
        <v>11245000</v>
      </c>
      <c r="C7" s="2"/>
      <c r="D7" s="2"/>
      <c r="E7" s="3" t="s">
        <v>22</v>
      </c>
      <c r="F7" s="2">
        <v>3206100</v>
      </c>
      <c r="G7" s="2"/>
      <c r="H7" s="2"/>
      <c r="I7" s="3" t="s">
        <v>451</v>
      </c>
      <c r="J7" s="2">
        <v>2081200</v>
      </c>
      <c r="K7" s="2"/>
      <c r="L7" s="2"/>
      <c r="M7" s="3" t="s">
        <v>150</v>
      </c>
      <c r="N7" s="2">
        <v>4125000</v>
      </c>
      <c r="O7" s="2"/>
      <c r="P7" s="2"/>
      <c r="Q7" s="2"/>
      <c r="R7" s="2"/>
      <c r="S7" s="2"/>
      <c r="T7" s="2"/>
      <c r="U7" s="2"/>
      <c r="V7" s="2"/>
      <c r="W7" s="2"/>
    </row>
    <row r="8" spans="1:23">
      <c r="A8" s="3" t="s">
        <v>146</v>
      </c>
      <c r="B8" s="2">
        <v>5714000</v>
      </c>
      <c r="C8" s="2"/>
      <c r="D8" s="2"/>
      <c r="E8" s="3" t="s">
        <v>13</v>
      </c>
      <c r="F8" s="2">
        <v>1100200</v>
      </c>
      <c r="G8" s="2"/>
      <c r="H8" s="2"/>
      <c r="I8" s="3" t="s">
        <v>452</v>
      </c>
      <c r="J8" s="2">
        <v>1569700</v>
      </c>
      <c r="K8" s="2"/>
      <c r="L8" s="2"/>
      <c r="M8" s="3" t="s">
        <v>141</v>
      </c>
      <c r="N8" s="2">
        <v>2660000</v>
      </c>
      <c r="O8" s="2"/>
      <c r="P8" s="2"/>
      <c r="Q8" s="2"/>
      <c r="R8" s="2"/>
      <c r="S8" s="2"/>
      <c r="T8" s="2"/>
      <c r="U8" s="2"/>
      <c r="V8" s="2"/>
      <c r="W8" s="2"/>
    </row>
    <row r="9" spans="1:23">
      <c r="A9" s="3" t="s">
        <v>448</v>
      </c>
      <c r="B9" s="2">
        <v>18338000</v>
      </c>
      <c r="C9" s="2"/>
      <c r="D9" s="2"/>
      <c r="E9" s="3" t="s">
        <v>37</v>
      </c>
      <c r="F9" s="2">
        <v>2607300</v>
      </c>
      <c r="G9" s="2"/>
      <c r="H9" s="2"/>
      <c r="I9" s="3" t="s">
        <v>453</v>
      </c>
      <c r="J9" s="2">
        <v>1484600</v>
      </c>
      <c r="K9" s="2"/>
      <c r="L9" s="2"/>
      <c r="M9" s="3" t="s">
        <v>143</v>
      </c>
      <c r="N9" s="2">
        <v>2535000</v>
      </c>
      <c r="O9" s="2"/>
      <c r="P9" s="2"/>
      <c r="Q9" s="2"/>
      <c r="R9" s="2"/>
      <c r="S9" s="2"/>
      <c r="T9" s="2"/>
      <c r="U9" s="2"/>
      <c r="V9" s="2"/>
      <c r="W9" s="2"/>
    </row>
    <row r="10" spans="1:23">
      <c r="A10" s="2"/>
      <c r="B10" s="2"/>
      <c r="C10" s="2"/>
      <c r="D10" s="2"/>
      <c r="E10" s="3" t="s">
        <v>18</v>
      </c>
      <c r="F10" s="2">
        <v>979100</v>
      </c>
      <c r="G10" s="2"/>
      <c r="H10" s="2"/>
      <c r="I10" s="3" t="s">
        <v>454</v>
      </c>
      <c r="J10" s="2">
        <v>1420700</v>
      </c>
      <c r="K10" s="2"/>
      <c r="L10" s="2"/>
      <c r="M10" s="3" t="s">
        <v>148</v>
      </c>
      <c r="N10" s="2">
        <v>1127000</v>
      </c>
      <c r="O10" s="2"/>
      <c r="P10" s="2"/>
      <c r="Q10" s="2"/>
      <c r="R10" s="2"/>
      <c r="S10" s="2"/>
      <c r="T10" s="2"/>
      <c r="U10" s="2"/>
      <c r="V10" s="2"/>
      <c r="W10" s="2"/>
    </row>
    <row r="11" spans="1:23">
      <c r="A11" s="2"/>
      <c r="B11" s="2"/>
      <c r="C11" s="2"/>
      <c r="D11" s="2"/>
      <c r="E11" s="3" t="s">
        <v>10</v>
      </c>
      <c r="F11" s="2">
        <v>840900</v>
      </c>
      <c r="G11" s="2"/>
      <c r="H11" s="2"/>
      <c r="I11" s="3" t="s">
        <v>455</v>
      </c>
      <c r="J11" s="2">
        <v>1532500</v>
      </c>
      <c r="K11" s="2"/>
      <c r="L11" s="2"/>
      <c r="M11" s="3" t="s">
        <v>448</v>
      </c>
      <c r="N11" s="2">
        <v>16497000</v>
      </c>
      <c r="O11" s="2"/>
      <c r="P11" s="2"/>
      <c r="Q11" s="2"/>
      <c r="R11" s="2"/>
      <c r="S11" s="2"/>
      <c r="T11" s="2"/>
      <c r="U11" s="2"/>
      <c r="V11" s="2"/>
      <c r="W11" s="2"/>
    </row>
    <row r="12" spans="1:23">
      <c r="A12" s="2"/>
      <c r="B12" s="2"/>
      <c r="C12" s="2"/>
      <c r="D12" s="2"/>
      <c r="E12" s="3" t="s">
        <v>25</v>
      </c>
      <c r="F12" s="2">
        <v>1661800</v>
      </c>
      <c r="G12" s="2"/>
      <c r="H12" s="2"/>
      <c r="I12" s="3" t="s">
        <v>456</v>
      </c>
      <c r="J12" s="2">
        <v>2309200</v>
      </c>
      <c r="K12" s="2"/>
      <c r="L12" s="2"/>
      <c r="M12" s="2"/>
      <c r="N12" s="2"/>
      <c r="O12" s="2"/>
      <c r="P12" s="2"/>
      <c r="Q12" s="2"/>
      <c r="R12" s="2"/>
      <c r="S12" s="2"/>
      <c r="T12" s="2"/>
      <c r="U12" s="2"/>
      <c r="V12" s="2"/>
      <c r="W12" s="2"/>
    </row>
    <row r="13" spans="1:23">
      <c r="A13" s="2"/>
      <c r="B13" s="2"/>
      <c r="C13" s="2"/>
      <c r="D13" s="2"/>
      <c r="E13" s="3" t="s">
        <v>5</v>
      </c>
      <c r="F13" s="2">
        <v>2811700</v>
      </c>
      <c r="G13" s="2"/>
      <c r="H13" s="2"/>
      <c r="I13" s="3" t="s">
        <v>457</v>
      </c>
      <c r="J13" s="2">
        <v>1423100</v>
      </c>
      <c r="K13" s="2"/>
      <c r="L13" s="2"/>
      <c r="M13" s="2"/>
      <c r="N13" s="2"/>
      <c r="O13" s="2"/>
      <c r="P13" s="2"/>
      <c r="Q13" s="2"/>
      <c r="R13" s="2"/>
      <c r="S13" s="2"/>
      <c r="T13" s="2"/>
      <c r="U13" s="2"/>
      <c r="V13" s="2"/>
      <c r="W13" s="2"/>
    </row>
    <row r="14" spans="1:23">
      <c r="A14" s="2"/>
      <c r="B14" s="2"/>
      <c r="C14" s="2"/>
      <c r="D14" s="2"/>
      <c r="E14" s="3" t="s">
        <v>48</v>
      </c>
      <c r="F14" s="2">
        <v>1896800</v>
      </c>
      <c r="G14" s="2"/>
      <c r="H14" s="2"/>
      <c r="I14" s="3" t="s">
        <v>458</v>
      </c>
      <c r="J14" s="2">
        <v>809700</v>
      </c>
      <c r="K14" s="2"/>
      <c r="L14" s="2"/>
      <c r="M14" s="2"/>
      <c r="N14" s="2"/>
      <c r="O14" s="2"/>
      <c r="P14" s="2"/>
      <c r="Q14" s="2"/>
      <c r="R14" s="2"/>
      <c r="S14" s="2"/>
      <c r="T14" s="2"/>
      <c r="U14" s="2"/>
      <c r="V14" s="2"/>
      <c r="W14" s="2"/>
    </row>
    <row r="15" spans="1:23">
      <c r="A15" s="2"/>
      <c r="B15" s="2"/>
      <c r="C15" s="2"/>
      <c r="D15" s="2"/>
      <c r="E15" s="3" t="s">
        <v>8</v>
      </c>
      <c r="F15" s="2">
        <v>1260000</v>
      </c>
      <c r="G15" s="2"/>
      <c r="H15" s="2"/>
      <c r="I15" s="3" t="s">
        <v>459</v>
      </c>
      <c r="J15" s="2">
        <v>1787800</v>
      </c>
      <c r="K15" s="2"/>
      <c r="L15" s="2"/>
      <c r="M15" s="2"/>
      <c r="N15" s="2"/>
      <c r="O15" s="2"/>
      <c r="P15" s="2"/>
      <c r="Q15" s="2"/>
      <c r="R15" s="2"/>
      <c r="S15" s="2"/>
      <c r="T15" s="2"/>
      <c r="U15" s="2"/>
      <c r="V15" s="2"/>
      <c r="W15" s="2"/>
    </row>
    <row r="16" spans="1:23">
      <c r="A16" s="2"/>
      <c r="B16" s="2"/>
      <c r="C16" s="2"/>
      <c r="D16" s="2"/>
      <c r="E16" s="3" t="s">
        <v>448</v>
      </c>
      <c r="F16" s="2">
        <v>18338000</v>
      </c>
      <c r="G16" s="2"/>
      <c r="H16" s="2"/>
      <c r="I16" s="3" t="s">
        <v>460</v>
      </c>
      <c r="J16" s="2">
        <v>1452700</v>
      </c>
      <c r="K16" s="2"/>
      <c r="L16" s="2"/>
      <c r="M16" s="2"/>
      <c r="N16" s="2"/>
      <c r="O16" s="2"/>
      <c r="P16" s="2"/>
      <c r="Q16" s="2"/>
      <c r="R16" s="2"/>
      <c r="S16" s="2"/>
      <c r="T16" s="2"/>
      <c r="U16" s="2"/>
      <c r="V16" s="2"/>
      <c r="W16" s="2"/>
    </row>
    <row r="17" spans="1:23">
      <c r="A17" s="2"/>
      <c r="B17" s="2"/>
      <c r="C17" s="2"/>
      <c r="D17" s="2"/>
      <c r="E17" s="2"/>
      <c r="F17" s="2"/>
      <c r="G17" s="2"/>
      <c r="H17" s="2"/>
      <c r="I17" s="3" t="s">
        <v>461</v>
      </c>
      <c r="J17" s="2">
        <v>1041100</v>
      </c>
      <c r="K17" s="2"/>
      <c r="L17" s="2"/>
      <c r="M17" s="2"/>
      <c r="N17" s="2"/>
      <c r="O17" s="2"/>
      <c r="P17" s="2"/>
      <c r="Q17" s="2"/>
      <c r="R17" s="2"/>
      <c r="S17" s="2"/>
      <c r="T17" s="2"/>
      <c r="U17" s="2"/>
      <c r="V17" s="2"/>
      <c r="W17" s="2"/>
    </row>
    <row r="18" spans="1:23">
      <c r="A18" s="2"/>
      <c r="B18" s="2"/>
      <c r="C18" s="2"/>
      <c r="D18" s="2"/>
      <c r="E18" s="2"/>
      <c r="F18" s="2"/>
      <c r="G18" s="2"/>
      <c r="H18" s="2"/>
      <c r="I18" s="3" t="s">
        <v>448</v>
      </c>
      <c r="J18" s="2">
        <v>18338000</v>
      </c>
      <c r="K18" s="2"/>
      <c r="L18" s="2"/>
      <c r="M18" s="2"/>
      <c r="N18" s="2"/>
      <c r="O18" s="2"/>
      <c r="P18" s="2"/>
      <c r="Q18" s="2"/>
      <c r="R18" s="2"/>
      <c r="S18" s="2"/>
      <c r="T18" s="2"/>
      <c r="U18" s="2"/>
      <c r="V18" s="2"/>
      <c r="W18" s="2"/>
    </row>
    <row r="19" spans="1:23">
      <c r="A19" s="2"/>
      <c r="B19" s="2"/>
      <c r="C19" s="2"/>
      <c r="D19" s="2"/>
      <c r="E19" s="2"/>
      <c r="F19" s="2"/>
      <c r="G19" s="2"/>
      <c r="H19" s="2"/>
      <c r="I19" s="2"/>
      <c r="J19" s="2"/>
      <c r="K19" s="2"/>
      <c r="L19" s="2"/>
      <c r="M19" s="2"/>
      <c r="N19" s="2"/>
      <c r="O19" s="2"/>
      <c r="P19" s="2"/>
      <c r="Q19" s="2"/>
      <c r="R19" s="2"/>
      <c r="S19" s="2"/>
      <c r="T19" s="2"/>
      <c r="U19" s="2"/>
      <c r="V19" s="2"/>
      <c r="W19" s="2"/>
    </row>
    <row r="20" spans="1:23">
      <c r="A20" s="2"/>
      <c r="B20" s="2"/>
      <c r="C20" s="2"/>
      <c r="D20" s="2"/>
      <c r="E20" s="2"/>
      <c r="F20" s="2"/>
      <c r="G20" s="2"/>
      <c r="H20" s="2"/>
      <c r="I20" s="2"/>
      <c r="J20" s="2"/>
      <c r="K20" s="2"/>
      <c r="L20" s="2"/>
      <c r="M20" s="2"/>
      <c r="N20" s="2"/>
      <c r="O20" s="2"/>
      <c r="P20" s="2"/>
      <c r="Q20" s="2"/>
      <c r="R20" s="2"/>
      <c r="S20" s="2"/>
      <c r="T20" s="2"/>
      <c r="U20" s="2"/>
      <c r="V20" s="2"/>
      <c r="W20" s="2"/>
    </row>
    <row r="21" spans="1:23">
      <c r="A21" s="2"/>
      <c r="B21" s="2"/>
      <c r="C21" s="2"/>
      <c r="D21" s="2"/>
      <c r="E21" s="2"/>
      <c r="F21" s="2"/>
      <c r="G21" s="2"/>
      <c r="H21" s="2"/>
      <c r="I21" s="2"/>
      <c r="J21" s="2"/>
      <c r="K21" s="2"/>
      <c r="L21" s="2"/>
      <c r="M21" s="2"/>
      <c r="N21" s="2"/>
      <c r="O21" s="2"/>
      <c r="P21" s="2"/>
      <c r="Q21" s="2"/>
      <c r="R21" s="2"/>
      <c r="S21" s="2"/>
      <c r="T21" s="2"/>
      <c r="U21" s="2"/>
      <c r="V21" s="2"/>
      <c r="W21" s="2"/>
    </row>
    <row r="22" spans="1:23" ht="15" thickBot="1">
      <c r="A22" s="2"/>
      <c r="B22" s="2"/>
      <c r="C22" s="2"/>
      <c r="D22" s="2"/>
      <c r="E22" s="2"/>
      <c r="F22" s="2"/>
      <c r="G22" s="2"/>
      <c r="H22" s="2"/>
      <c r="I22" s="2"/>
      <c r="J22" s="2"/>
      <c r="K22" s="2"/>
      <c r="L22" s="2"/>
      <c r="M22" s="2"/>
      <c r="N22" s="2"/>
      <c r="O22" s="2"/>
      <c r="P22" s="2"/>
      <c r="Q22" s="2"/>
      <c r="R22" s="2"/>
      <c r="S22" s="2"/>
      <c r="T22" s="2"/>
      <c r="U22" s="2"/>
      <c r="V22" s="2"/>
      <c r="W22" s="2"/>
    </row>
    <row r="23" spans="1:23" ht="15" customHeight="1" thickTop="1">
      <c r="A23" s="5">
        <f>SUM(Salesdata[Sales])</f>
        <v>18338000</v>
      </c>
      <c r="B23" s="6"/>
      <c r="C23" s="7"/>
      <c r="D23" s="2"/>
      <c r="E23" s="2"/>
      <c r="F23" s="5">
        <f>COUNTA(Salesdata[Order ID])</f>
        <v>500</v>
      </c>
      <c r="G23" s="6"/>
      <c r="H23" s="7"/>
      <c r="I23" s="2"/>
      <c r="J23" s="2"/>
      <c r="K23" s="5">
        <f>SUM(Salesdata[Sales])/COUNTA(Salesdata[Order ID])</f>
        <v>36676</v>
      </c>
      <c r="L23" s="6"/>
      <c r="M23" s="7"/>
      <c r="N23" s="2"/>
      <c r="O23" s="2"/>
      <c r="P23" s="5">
        <f>SUM(Salesdata[Quantity])</f>
        <v>1487</v>
      </c>
      <c r="Q23" s="6"/>
      <c r="R23" s="7"/>
      <c r="S23" s="2"/>
      <c r="T23" s="2"/>
      <c r="U23" s="2"/>
      <c r="V23" s="2"/>
      <c r="W23" s="2"/>
    </row>
    <row r="24" spans="1:23" ht="15" customHeight="1">
      <c r="A24" s="8"/>
      <c r="B24" s="9"/>
      <c r="C24" s="10"/>
      <c r="D24" s="2"/>
      <c r="E24" s="2"/>
      <c r="F24" s="8"/>
      <c r="G24" s="9"/>
      <c r="H24" s="10"/>
      <c r="I24" s="2"/>
      <c r="J24" s="2"/>
      <c r="K24" s="8"/>
      <c r="L24" s="9"/>
      <c r="M24" s="10"/>
      <c r="N24" s="2"/>
      <c r="O24" s="2"/>
      <c r="P24" s="8"/>
      <c r="Q24" s="9"/>
      <c r="R24" s="10"/>
      <c r="S24" s="2"/>
      <c r="T24" s="2"/>
      <c r="U24" s="2"/>
      <c r="V24" s="2"/>
      <c r="W24" s="2"/>
    </row>
    <row r="25" spans="1:23" ht="15" customHeight="1">
      <c r="A25" s="8"/>
      <c r="B25" s="9"/>
      <c r="C25" s="10"/>
      <c r="D25" s="2"/>
      <c r="E25" s="2"/>
      <c r="F25" s="8"/>
      <c r="G25" s="9"/>
      <c r="H25" s="10"/>
      <c r="I25" s="2"/>
      <c r="J25" s="2"/>
      <c r="K25" s="8"/>
      <c r="L25" s="9"/>
      <c r="M25" s="10"/>
      <c r="N25" s="2"/>
      <c r="O25" s="2"/>
      <c r="P25" s="8"/>
      <c r="Q25" s="9"/>
      <c r="R25" s="10"/>
      <c r="S25" s="2"/>
      <c r="T25" s="2"/>
      <c r="U25" s="2"/>
      <c r="V25" s="2"/>
      <c r="W25" s="2"/>
    </row>
    <row r="26" spans="1:23" ht="15" customHeight="1">
      <c r="A26" s="8"/>
      <c r="B26" s="9"/>
      <c r="C26" s="10"/>
      <c r="D26" s="2"/>
      <c r="E26" s="2"/>
      <c r="F26" s="8"/>
      <c r="G26" s="9"/>
      <c r="H26" s="10"/>
      <c r="I26" s="2"/>
      <c r="J26" s="2"/>
      <c r="K26" s="8"/>
      <c r="L26" s="9"/>
      <c r="M26" s="10"/>
      <c r="N26" s="2"/>
      <c r="O26" s="2"/>
      <c r="P26" s="8"/>
      <c r="Q26" s="9"/>
      <c r="R26" s="10"/>
      <c r="S26" s="2"/>
      <c r="T26" s="2"/>
      <c r="U26" s="2"/>
      <c r="V26" s="2"/>
      <c r="W26" s="2"/>
    </row>
    <row r="27" spans="1:23" ht="15" customHeight="1" thickBot="1">
      <c r="A27" s="11"/>
      <c r="B27" s="12"/>
      <c r="C27" s="13"/>
      <c r="D27" s="2"/>
      <c r="E27" s="2"/>
      <c r="F27" s="11"/>
      <c r="G27" s="12"/>
      <c r="H27" s="13"/>
      <c r="I27" s="2"/>
      <c r="J27" s="2"/>
      <c r="K27" s="11"/>
      <c r="L27" s="12"/>
      <c r="M27" s="13"/>
      <c r="N27" s="2"/>
      <c r="O27" s="2"/>
      <c r="P27" s="11"/>
      <c r="Q27" s="12"/>
      <c r="R27" s="13"/>
      <c r="S27" s="2"/>
      <c r="T27" s="2"/>
      <c r="U27" s="2"/>
      <c r="V27" s="2"/>
      <c r="W27" s="2"/>
    </row>
    <row r="28" spans="1:23" ht="15.75" customHeight="1" thickTop="1">
      <c r="A28" s="2"/>
      <c r="B28" s="2"/>
      <c r="C28" s="2"/>
      <c r="D28" s="2"/>
      <c r="E28" s="2"/>
      <c r="F28" s="2"/>
      <c r="G28" s="2"/>
      <c r="H28" s="2"/>
      <c r="I28" s="2"/>
      <c r="J28" s="2"/>
      <c r="K28" s="2"/>
      <c r="L28" s="2"/>
      <c r="M28" s="2"/>
      <c r="N28" s="2"/>
      <c r="O28" s="2"/>
      <c r="P28" s="2"/>
      <c r="Q28" s="2"/>
      <c r="R28" s="2"/>
      <c r="S28" s="2"/>
      <c r="T28" s="2"/>
      <c r="U28" s="2"/>
      <c r="V28" s="2"/>
      <c r="W28" s="2"/>
    </row>
    <row r="29" spans="1:23">
      <c r="A29" s="2"/>
      <c r="B29" s="2"/>
      <c r="C29" s="2"/>
      <c r="D29" s="2"/>
      <c r="E29" s="2"/>
      <c r="F29" s="2"/>
      <c r="G29" s="2"/>
      <c r="H29" s="2"/>
      <c r="I29" s="2"/>
      <c r="J29" s="2"/>
      <c r="K29" s="2"/>
      <c r="L29" s="2"/>
      <c r="M29" s="2"/>
      <c r="N29" s="2"/>
      <c r="O29" s="2"/>
      <c r="P29" s="2"/>
      <c r="Q29" s="2"/>
      <c r="R29" s="2"/>
      <c r="S29" s="2"/>
      <c r="T29" s="2"/>
      <c r="U29" s="2"/>
      <c r="V29" s="2"/>
      <c r="W29" s="2"/>
    </row>
    <row r="30" spans="1:23">
      <c r="A30" s="2"/>
      <c r="B30" s="2"/>
      <c r="C30" s="2"/>
      <c r="D30" s="2"/>
      <c r="E30" s="2"/>
      <c r="F30" s="2"/>
      <c r="G30" s="2"/>
      <c r="H30" s="2"/>
      <c r="I30" s="2"/>
      <c r="J30" s="2"/>
      <c r="K30" s="2"/>
      <c r="L30" s="2"/>
      <c r="M30" s="2"/>
      <c r="N30" s="2"/>
      <c r="O30" s="2"/>
      <c r="P30" s="2"/>
      <c r="Q30" s="2"/>
      <c r="R30" s="2"/>
      <c r="S30" s="2"/>
      <c r="T30" s="2"/>
      <c r="U30" s="2"/>
      <c r="V30" s="2"/>
      <c r="W30" s="2"/>
    </row>
    <row r="31" spans="1:23">
      <c r="A31" s="2"/>
      <c r="B31" s="2"/>
      <c r="C31" s="2"/>
      <c r="D31" s="2"/>
      <c r="E31" s="2"/>
      <c r="F31" s="2"/>
      <c r="G31" s="2"/>
      <c r="H31" s="2"/>
      <c r="I31" s="2"/>
      <c r="J31" s="2"/>
      <c r="K31" s="2"/>
      <c r="L31" s="2"/>
      <c r="M31" s="2"/>
      <c r="N31" s="2"/>
      <c r="O31" s="2"/>
      <c r="P31" s="2"/>
      <c r="Q31" s="2"/>
      <c r="R31" s="2"/>
      <c r="S31" s="2"/>
      <c r="T31" s="2"/>
      <c r="U31" s="2"/>
      <c r="V31" s="2"/>
      <c r="W31" s="2"/>
    </row>
    <row r="32" spans="1:23">
      <c r="A32" s="2"/>
      <c r="B32" s="2"/>
      <c r="C32" s="2"/>
      <c r="D32" s="2"/>
      <c r="E32" s="2"/>
      <c r="F32" s="2"/>
      <c r="G32" s="2"/>
      <c r="H32" s="2"/>
      <c r="I32" s="2"/>
      <c r="J32" s="2"/>
      <c r="K32" s="2"/>
      <c r="L32" s="2"/>
      <c r="M32" s="2"/>
      <c r="N32" s="2"/>
      <c r="O32" s="2"/>
      <c r="P32" s="2"/>
      <c r="Q32" s="2"/>
      <c r="R32" s="2"/>
      <c r="S32" s="2"/>
      <c r="T32" s="2"/>
      <c r="U32" s="2"/>
      <c r="V32" s="2"/>
      <c r="W32" s="2"/>
    </row>
    <row r="33" spans="1:23">
      <c r="A33" s="2"/>
      <c r="B33" s="2"/>
      <c r="C33" s="2"/>
      <c r="D33" s="2"/>
      <c r="E33" s="2"/>
      <c r="F33" s="2"/>
      <c r="G33" s="2"/>
      <c r="H33" s="2"/>
      <c r="I33" s="2"/>
      <c r="J33" s="2"/>
      <c r="K33" s="2"/>
      <c r="L33" s="2"/>
      <c r="M33" s="2"/>
      <c r="N33" s="2"/>
      <c r="O33" s="2"/>
      <c r="P33" s="2"/>
      <c r="Q33" s="2"/>
      <c r="R33" s="2"/>
      <c r="S33" s="2"/>
      <c r="T33" s="2"/>
      <c r="U33" s="2"/>
      <c r="V33" s="2"/>
      <c r="W33" s="2"/>
    </row>
    <row r="34" spans="1:23">
      <c r="A34" s="2"/>
      <c r="B34" s="2"/>
      <c r="C34" s="2"/>
      <c r="D34" s="2"/>
      <c r="E34" s="2"/>
      <c r="F34" s="2"/>
      <c r="G34" s="2"/>
      <c r="H34" s="2"/>
      <c r="I34" s="2"/>
      <c r="J34" s="2"/>
      <c r="K34" s="2"/>
      <c r="L34" s="2"/>
      <c r="M34" s="2"/>
      <c r="N34" s="2"/>
      <c r="O34" s="2"/>
      <c r="P34" s="2"/>
      <c r="Q34" s="2"/>
      <c r="R34" s="2"/>
      <c r="S34" s="2"/>
      <c r="T34" s="2"/>
      <c r="U34" s="2"/>
      <c r="V34" s="2"/>
      <c r="W34" s="2"/>
    </row>
    <row r="35" spans="1:23">
      <c r="A35" s="2"/>
      <c r="B35" s="2"/>
      <c r="C35" s="2"/>
      <c r="D35" s="2"/>
      <c r="E35" s="2"/>
      <c r="F35" s="2"/>
      <c r="G35" s="2"/>
      <c r="H35" s="2"/>
      <c r="I35" s="2"/>
      <c r="J35" s="2"/>
      <c r="K35" s="2"/>
      <c r="L35" s="2"/>
      <c r="M35" s="2"/>
      <c r="N35" s="2"/>
      <c r="O35" s="2"/>
      <c r="P35" s="2"/>
      <c r="Q35" s="2"/>
      <c r="R35" s="2"/>
      <c r="S35" s="2"/>
      <c r="T35" s="2"/>
      <c r="U35" s="2"/>
      <c r="V35" s="2"/>
      <c r="W35" s="2"/>
    </row>
    <row r="36" spans="1:23">
      <c r="A36" s="2"/>
      <c r="B36" s="2"/>
      <c r="C36" s="2"/>
      <c r="D36" s="2"/>
      <c r="E36" s="2"/>
      <c r="F36" s="2"/>
      <c r="G36" s="2"/>
      <c r="H36" s="2"/>
      <c r="I36" s="2"/>
      <c r="J36" s="2"/>
      <c r="K36" s="2"/>
      <c r="L36" s="2"/>
      <c r="M36" s="2"/>
      <c r="N36" s="2"/>
      <c r="O36" s="2"/>
      <c r="P36" s="2"/>
      <c r="Q36" s="2"/>
      <c r="R36" s="2"/>
      <c r="S36" s="2"/>
      <c r="T36" s="2"/>
      <c r="U36" s="2"/>
      <c r="V36" s="2"/>
      <c r="W36" s="2"/>
    </row>
    <row r="37" spans="1:23">
      <c r="A37" s="2"/>
      <c r="B37" s="2"/>
      <c r="C37" s="2"/>
      <c r="D37" s="2"/>
      <c r="E37" s="2"/>
      <c r="F37" s="2"/>
      <c r="G37" s="2"/>
      <c r="H37" s="2"/>
      <c r="I37" s="2"/>
      <c r="J37" s="2"/>
      <c r="K37" s="2"/>
      <c r="L37" s="2"/>
      <c r="M37" s="2"/>
      <c r="N37" s="2"/>
      <c r="O37" s="2"/>
      <c r="P37" s="2"/>
      <c r="Q37" s="2"/>
      <c r="R37" s="2"/>
      <c r="S37" s="2"/>
      <c r="T37" s="2"/>
      <c r="U37" s="2"/>
      <c r="V37" s="2"/>
      <c r="W37" s="2"/>
    </row>
    <row r="38" spans="1:23">
      <c r="A38" s="2"/>
      <c r="B38" s="2"/>
      <c r="C38" s="2"/>
      <c r="D38" s="2"/>
      <c r="E38" s="2"/>
      <c r="F38" s="2"/>
      <c r="G38" s="2"/>
      <c r="H38" s="2"/>
      <c r="I38" s="2"/>
      <c r="J38" s="2"/>
      <c r="K38" s="2"/>
      <c r="L38" s="2"/>
      <c r="M38" s="2"/>
      <c r="N38" s="2"/>
      <c r="O38" s="2"/>
      <c r="P38" s="2"/>
      <c r="Q38" s="2"/>
      <c r="R38" s="2"/>
      <c r="S38" s="2"/>
      <c r="T38" s="2"/>
      <c r="U38" s="2"/>
      <c r="V38" s="2"/>
      <c r="W38" s="2"/>
    </row>
    <row r="39" spans="1:23">
      <c r="A39" s="2"/>
      <c r="B39" s="2"/>
      <c r="C39" s="2"/>
      <c r="D39" s="2"/>
      <c r="E39" s="2"/>
      <c r="F39" s="2"/>
      <c r="G39" s="2"/>
      <c r="H39" s="2"/>
      <c r="I39" s="2"/>
      <c r="J39" s="2"/>
      <c r="K39" s="2"/>
      <c r="L39" s="2"/>
      <c r="M39" s="2"/>
      <c r="N39" s="2"/>
      <c r="O39" s="2"/>
      <c r="P39" s="2"/>
      <c r="Q39" s="2"/>
      <c r="R39" s="2"/>
      <c r="S39" s="2"/>
      <c r="T39" s="2"/>
      <c r="U39" s="2"/>
      <c r="V39" s="2"/>
      <c r="W39" s="2"/>
    </row>
    <row r="40" spans="1:23">
      <c r="A40" s="2"/>
      <c r="B40" s="2"/>
      <c r="C40" s="2"/>
      <c r="D40" s="2"/>
      <c r="E40" s="2"/>
      <c r="F40" s="2"/>
      <c r="G40" s="2"/>
      <c r="H40" s="2"/>
      <c r="I40" s="2"/>
      <c r="J40" s="2"/>
      <c r="K40" s="2"/>
      <c r="L40" s="2"/>
      <c r="M40" s="2"/>
      <c r="N40" s="2"/>
      <c r="O40" s="2"/>
      <c r="P40" s="2"/>
      <c r="Q40" s="2"/>
      <c r="R40" s="2"/>
      <c r="S40" s="2"/>
      <c r="T40" s="2"/>
      <c r="U40" s="2"/>
      <c r="V40" s="2"/>
      <c r="W40" s="2"/>
    </row>
    <row r="41" spans="1:23">
      <c r="A41" s="2"/>
      <c r="B41" s="2"/>
      <c r="C41" s="2"/>
      <c r="D41" s="2"/>
      <c r="E41" s="2"/>
      <c r="F41" s="2"/>
      <c r="G41" s="2"/>
      <c r="H41" s="2"/>
      <c r="I41" s="2"/>
      <c r="J41" s="2"/>
      <c r="K41" s="2"/>
      <c r="L41" s="2"/>
      <c r="M41" s="2"/>
      <c r="N41" s="2"/>
      <c r="O41" s="2"/>
      <c r="P41" s="2"/>
      <c r="Q41" s="2"/>
      <c r="R41" s="2"/>
      <c r="S41" s="2"/>
      <c r="T41" s="2"/>
      <c r="U41" s="2"/>
      <c r="V41" s="2"/>
      <c r="W41" s="2"/>
    </row>
    <row r="42" spans="1:23">
      <c r="A42" s="2"/>
      <c r="B42" s="2"/>
      <c r="C42" s="2"/>
      <c r="D42" s="2"/>
      <c r="E42" s="2"/>
      <c r="F42" s="2"/>
      <c r="G42" s="2"/>
      <c r="H42" s="2"/>
      <c r="I42" s="2"/>
      <c r="J42" s="2"/>
      <c r="K42" s="2"/>
      <c r="L42" s="2"/>
      <c r="M42" s="2"/>
      <c r="N42" s="2"/>
      <c r="O42" s="2"/>
      <c r="P42" s="2"/>
      <c r="Q42" s="2"/>
      <c r="R42" s="2"/>
      <c r="S42" s="2"/>
      <c r="T42" s="2"/>
      <c r="U42" s="2"/>
      <c r="V42" s="2"/>
      <c r="W42" s="2"/>
    </row>
    <row r="43" spans="1:23">
      <c r="A43" s="2"/>
      <c r="B43" s="2"/>
      <c r="C43" s="2"/>
      <c r="D43" s="2"/>
      <c r="E43" s="2"/>
      <c r="F43" s="2"/>
      <c r="G43" s="2"/>
      <c r="H43" s="2"/>
      <c r="I43" s="2"/>
      <c r="J43" s="2"/>
      <c r="K43" s="2"/>
      <c r="L43" s="2"/>
      <c r="M43" s="2"/>
      <c r="N43" s="2"/>
      <c r="O43" s="2"/>
      <c r="P43" s="2"/>
      <c r="Q43" s="2"/>
      <c r="R43" s="2"/>
      <c r="S43" s="2"/>
      <c r="T43" s="2"/>
      <c r="U43" s="2"/>
      <c r="V43" s="2"/>
      <c r="W43" s="2"/>
    </row>
    <row r="44" spans="1:23">
      <c r="A44" s="2"/>
      <c r="B44" s="2"/>
      <c r="C44" s="2"/>
      <c r="D44" s="2"/>
      <c r="E44" s="2"/>
      <c r="F44" s="2"/>
      <c r="G44" s="2"/>
      <c r="H44" s="2"/>
      <c r="I44" s="2"/>
      <c r="J44" s="2"/>
      <c r="K44" s="2"/>
      <c r="L44" s="2"/>
      <c r="M44" s="2"/>
      <c r="N44" s="2"/>
      <c r="O44" s="2"/>
      <c r="P44" s="2"/>
      <c r="Q44" s="2"/>
      <c r="R44" s="2"/>
      <c r="S44" s="2"/>
      <c r="T44" s="2"/>
      <c r="U44" s="2"/>
      <c r="V44" s="2"/>
      <c r="W44" s="2"/>
    </row>
    <row r="45" spans="1:23">
      <c r="A45" s="2"/>
      <c r="B45" s="2"/>
      <c r="C45" s="2"/>
      <c r="D45" s="2"/>
      <c r="E45" s="2"/>
      <c r="F45" s="2"/>
      <c r="G45" s="2"/>
      <c r="H45" s="2"/>
      <c r="I45" s="2"/>
      <c r="J45" s="2"/>
      <c r="K45" s="2"/>
      <c r="L45" s="2"/>
      <c r="M45" s="2"/>
      <c r="N45" s="2"/>
      <c r="O45" s="2"/>
      <c r="P45" s="2"/>
      <c r="Q45" s="2"/>
      <c r="R45" s="2"/>
      <c r="S45" s="2"/>
      <c r="T45" s="2"/>
      <c r="U45" s="2"/>
      <c r="V45" s="2"/>
      <c r="W45" s="2"/>
    </row>
    <row r="46" spans="1:23">
      <c r="A46" s="14" t="s">
        <v>462</v>
      </c>
      <c r="B46" s="15"/>
      <c r="C46" s="15"/>
      <c r="D46" s="15"/>
      <c r="E46" s="15"/>
      <c r="F46" s="2"/>
      <c r="G46" s="2"/>
      <c r="H46" s="2"/>
      <c r="I46" s="2"/>
      <c r="J46" s="2"/>
      <c r="K46" s="2"/>
      <c r="L46" s="2"/>
      <c r="M46" s="2"/>
      <c r="N46" s="2"/>
      <c r="O46" s="2"/>
      <c r="P46" s="2"/>
      <c r="Q46" s="2"/>
      <c r="R46" s="2"/>
      <c r="S46" s="2"/>
      <c r="T46" s="2"/>
      <c r="U46" s="2"/>
      <c r="V46" s="2"/>
      <c r="W46" s="2"/>
    </row>
    <row r="47" spans="1:23">
      <c r="A47" s="15"/>
      <c r="B47" s="15"/>
      <c r="C47" s="15"/>
      <c r="D47" s="15"/>
      <c r="E47" s="15"/>
      <c r="F47" s="2"/>
      <c r="G47" s="2"/>
      <c r="H47" s="2"/>
      <c r="I47" s="2"/>
      <c r="J47" s="2"/>
      <c r="K47" s="2"/>
      <c r="L47" s="2"/>
      <c r="M47" s="2"/>
      <c r="N47" s="2"/>
      <c r="O47" s="2"/>
      <c r="P47" s="2"/>
      <c r="Q47" s="2"/>
      <c r="R47" s="2"/>
      <c r="S47" s="2"/>
      <c r="T47" s="2"/>
      <c r="U47" s="2"/>
      <c r="V47" s="2"/>
      <c r="W47" s="2"/>
    </row>
    <row r="48" spans="1:23">
      <c r="A48" s="15"/>
      <c r="B48" s="15"/>
      <c r="C48" s="15"/>
      <c r="D48" s="15"/>
      <c r="E48" s="15"/>
      <c r="F48" s="2"/>
      <c r="G48" s="2"/>
      <c r="H48" s="2"/>
      <c r="I48" s="2"/>
      <c r="J48" s="2"/>
      <c r="K48" s="2"/>
      <c r="L48" s="2"/>
      <c r="M48" s="2"/>
      <c r="N48" s="2"/>
      <c r="O48" s="2"/>
      <c r="P48" s="2"/>
      <c r="Q48" s="2"/>
      <c r="R48" s="2"/>
      <c r="S48" s="2"/>
      <c r="T48" s="2"/>
      <c r="U48" s="2"/>
      <c r="V48" s="2"/>
      <c r="W48" s="2"/>
    </row>
    <row r="49" spans="1:23">
      <c r="A49" s="15"/>
      <c r="B49" s="15"/>
      <c r="C49" s="15"/>
      <c r="D49" s="15"/>
      <c r="E49" s="15"/>
      <c r="F49" s="2"/>
      <c r="G49" s="2"/>
      <c r="H49" s="2"/>
      <c r="I49" s="2"/>
      <c r="J49" s="2"/>
      <c r="K49" s="2"/>
      <c r="L49" s="2"/>
      <c r="M49" s="2"/>
      <c r="N49" s="2"/>
      <c r="O49" s="2"/>
      <c r="P49" s="2"/>
      <c r="Q49" s="2"/>
      <c r="R49" s="2"/>
      <c r="S49" s="2"/>
      <c r="T49" s="2"/>
      <c r="U49" s="2"/>
      <c r="V49" s="2"/>
      <c r="W49" s="2"/>
    </row>
    <row r="50" spans="1:23">
      <c r="A50" s="2"/>
      <c r="B50" s="2"/>
      <c r="C50" s="2"/>
      <c r="D50" s="2"/>
      <c r="E50" s="2"/>
      <c r="F50" s="2"/>
      <c r="G50" s="2"/>
      <c r="H50" s="2"/>
      <c r="I50" s="2"/>
      <c r="J50" s="2"/>
      <c r="K50" s="2"/>
      <c r="L50" s="2"/>
      <c r="M50" s="2"/>
      <c r="N50" s="2"/>
      <c r="O50" s="2"/>
      <c r="P50" s="2"/>
      <c r="Q50" s="2"/>
      <c r="R50" s="2"/>
      <c r="S50" s="2"/>
      <c r="T50" s="2"/>
      <c r="U50" s="2"/>
      <c r="V50" s="2"/>
      <c r="W50" s="2"/>
    </row>
  </sheetData>
  <mergeCells count="6">
    <mergeCell ref="A46:E49"/>
    <mergeCell ref="A1:W2"/>
    <mergeCell ref="A23:C27"/>
    <mergeCell ref="F23:H27"/>
    <mergeCell ref="K23:M27"/>
    <mergeCell ref="P23:R27"/>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workbookViewId="0"/>
  </sheetViews>
  <sheetFormatPr defaultRowHeight="14.5"/>
  <sheetData>
    <row r="1" spans="1:3">
      <c r="A1" t="s">
        <v>0</v>
      </c>
      <c r="B1" t="s">
        <v>1</v>
      </c>
      <c r="C1" t="s">
        <v>2</v>
      </c>
    </row>
    <row r="2" spans="1:3">
      <c r="A2" t="s">
        <v>3</v>
      </c>
      <c r="B2" t="s">
        <v>4</v>
      </c>
      <c r="C2" t="s">
        <v>5</v>
      </c>
    </row>
    <row r="3" spans="1:3">
      <c r="A3" t="s">
        <v>6</v>
      </c>
      <c r="B3" t="s">
        <v>7</v>
      </c>
      <c r="C3" t="s">
        <v>8</v>
      </c>
    </row>
    <row r="4" spans="1:3">
      <c r="A4" t="s">
        <v>9</v>
      </c>
      <c r="B4" t="s">
        <v>7</v>
      </c>
      <c r="C4" t="s">
        <v>10</v>
      </c>
    </row>
    <row r="5" spans="1:3">
      <c r="A5" t="s">
        <v>11</v>
      </c>
      <c r="B5" t="s">
        <v>12</v>
      </c>
      <c r="C5" t="s">
        <v>13</v>
      </c>
    </row>
    <row r="6" spans="1:3">
      <c r="A6" t="s">
        <v>14</v>
      </c>
      <c r="B6" t="s">
        <v>15</v>
      </c>
      <c r="C6" t="s">
        <v>8</v>
      </c>
    </row>
    <row r="7" spans="1:3">
      <c r="A7" t="s">
        <v>16</v>
      </c>
      <c r="B7" t="s">
        <v>17</v>
      </c>
      <c r="C7" t="s">
        <v>18</v>
      </c>
    </row>
    <row r="8" spans="1:3">
      <c r="A8" t="s">
        <v>19</v>
      </c>
      <c r="B8" t="s">
        <v>15</v>
      </c>
      <c r="C8" t="s">
        <v>18</v>
      </c>
    </row>
    <row r="9" spans="1:3">
      <c r="A9" t="s">
        <v>20</v>
      </c>
      <c r="B9" t="s">
        <v>21</v>
      </c>
      <c r="C9" t="s">
        <v>22</v>
      </c>
    </row>
    <row r="10" spans="1:3">
      <c r="A10" t="s">
        <v>23</v>
      </c>
      <c r="B10" t="s">
        <v>24</v>
      </c>
      <c r="C10" t="s">
        <v>25</v>
      </c>
    </row>
    <row r="11" spans="1:3">
      <c r="A11" t="s">
        <v>26</v>
      </c>
      <c r="B11" t="s">
        <v>27</v>
      </c>
      <c r="C11" t="s">
        <v>28</v>
      </c>
    </row>
    <row r="12" spans="1:3">
      <c r="A12" t="s">
        <v>29</v>
      </c>
      <c r="B12" t="s">
        <v>30</v>
      </c>
      <c r="C12" t="s">
        <v>13</v>
      </c>
    </row>
    <row r="13" spans="1:3">
      <c r="A13" t="s">
        <v>31</v>
      </c>
      <c r="B13" t="s">
        <v>32</v>
      </c>
      <c r="C13" t="s">
        <v>22</v>
      </c>
    </row>
    <row r="14" spans="1:3">
      <c r="A14" t="s">
        <v>33</v>
      </c>
      <c r="B14" t="s">
        <v>7</v>
      </c>
      <c r="C14" t="s">
        <v>28</v>
      </c>
    </row>
    <row r="15" spans="1:3">
      <c r="A15" t="s">
        <v>34</v>
      </c>
      <c r="B15" t="s">
        <v>35</v>
      </c>
      <c r="C15" t="s">
        <v>25</v>
      </c>
    </row>
    <row r="16" spans="1:3">
      <c r="A16" t="s">
        <v>36</v>
      </c>
      <c r="B16" t="s">
        <v>32</v>
      </c>
      <c r="C16" t="s">
        <v>37</v>
      </c>
    </row>
    <row r="17" spans="1:3">
      <c r="A17" t="s">
        <v>38</v>
      </c>
      <c r="B17" t="s">
        <v>24</v>
      </c>
      <c r="C17" t="s">
        <v>25</v>
      </c>
    </row>
    <row r="18" spans="1:3">
      <c r="A18" t="s">
        <v>39</v>
      </c>
      <c r="B18" t="s">
        <v>7</v>
      </c>
      <c r="C18" t="s">
        <v>5</v>
      </c>
    </row>
    <row r="19" spans="1:3">
      <c r="A19" t="s">
        <v>40</v>
      </c>
      <c r="B19" t="s">
        <v>41</v>
      </c>
      <c r="C19" t="s">
        <v>28</v>
      </c>
    </row>
    <row r="20" spans="1:3">
      <c r="A20" t="s">
        <v>42</v>
      </c>
      <c r="B20" t="s">
        <v>43</v>
      </c>
      <c r="C20" t="s">
        <v>28</v>
      </c>
    </row>
    <row r="21" spans="1:3">
      <c r="A21" t="s">
        <v>44</v>
      </c>
      <c r="B21" t="s">
        <v>45</v>
      </c>
      <c r="C21" t="s">
        <v>5</v>
      </c>
    </row>
    <row r="22" spans="1:3">
      <c r="A22" t="s">
        <v>46</v>
      </c>
      <c r="B22" t="s">
        <v>35</v>
      </c>
      <c r="C22" t="s">
        <v>22</v>
      </c>
    </row>
    <row r="23" spans="1:3">
      <c r="A23" t="s">
        <v>47</v>
      </c>
      <c r="B23" t="s">
        <v>4</v>
      </c>
      <c r="C23" t="s">
        <v>48</v>
      </c>
    </row>
    <row r="24" spans="1:3">
      <c r="A24" t="s">
        <v>49</v>
      </c>
      <c r="B24" t="s">
        <v>50</v>
      </c>
      <c r="C24" t="s">
        <v>28</v>
      </c>
    </row>
    <row r="25" spans="1:3">
      <c r="A25" t="s">
        <v>51</v>
      </c>
      <c r="B25" t="s">
        <v>17</v>
      </c>
      <c r="C25" t="s">
        <v>48</v>
      </c>
    </row>
    <row r="26" spans="1:3">
      <c r="A26" t="s">
        <v>52</v>
      </c>
      <c r="B26" t="s">
        <v>24</v>
      </c>
      <c r="C26" t="s">
        <v>22</v>
      </c>
    </row>
    <row r="27" spans="1:3">
      <c r="A27" t="s">
        <v>53</v>
      </c>
      <c r="B27" t="s">
        <v>12</v>
      </c>
      <c r="C27" t="s">
        <v>13</v>
      </c>
    </row>
    <row r="28" spans="1:3">
      <c r="A28" t="s">
        <v>54</v>
      </c>
      <c r="B28" t="s">
        <v>50</v>
      </c>
      <c r="C28" t="s">
        <v>13</v>
      </c>
    </row>
    <row r="29" spans="1:3">
      <c r="A29" t="s">
        <v>55</v>
      </c>
      <c r="B29" t="s">
        <v>41</v>
      </c>
      <c r="C29" t="s">
        <v>10</v>
      </c>
    </row>
    <row r="30" spans="1:3">
      <c r="A30" t="s">
        <v>56</v>
      </c>
      <c r="B30" t="s">
        <v>32</v>
      </c>
      <c r="C30" t="s">
        <v>22</v>
      </c>
    </row>
    <row r="31" spans="1:3">
      <c r="A31" t="s">
        <v>57</v>
      </c>
      <c r="B31" t="s">
        <v>35</v>
      </c>
      <c r="C31" t="s">
        <v>10</v>
      </c>
    </row>
    <row r="32" spans="1:3">
      <c r="A32" t="s">
        <v>58</v>
      </c>
      <c r="B32" t="s">
        <v>59</v>
      </c>
      <c r="C32" t="s">
        <v>22</v>
      </c>
    </row>
    <row r="33" spans="1:3">
      <c r="A33" t="s">
        <v>60</v>
      </c>
      <c r="B33" t="s">
        <v>4</v>
      </c>
      <c r="C33" t="s">
        <v>37</v>
      </c>
    </row>
    <row r="34" spans="1:3">
      <c r="A34" t="s">
        <v>61</v>
      </c>
      <c r="B34" t="s">
        <v>17</v>
      </c>
      <c r="C34" t="s">
        <v>37</v>
      </c>
    </row>
    <row r="35" spans="1:3">
      <c r="A35" t="s">
        <v>62</v>
      </c>
      <c r="B35" t="s">
        <v>50</v>
      </c>
      <c r="C35" t="s">
        <v>37</v>
      </c>
    </row>
    <row r="36" spans="1:3">
      <c r="A36" t="s">
        <v>63</v>
      </c>
      <c r="B36" t="s">
        <v>64</v>
      </c>
      <c r="C36" t="s">
        <v>37</v>
      </c>
    </row>
    <row r="37" spans="1:3">
      <c r="A37" t="s">
        <v>65</v>
      </c>
      <c r="B37" t="s">
        <v>12</v>
      </c>
      <c r="C37" t="s">
        <v>18</v>
      </c>
    </row>
    <row r="38" spans="1:3">
      <c r="A38" t="s">
        <v>66</v>
      </c>
      <c r="B38" t="s">
        <v>30</v>
      </c>
      <c r="C38" t="s">
        <v>28</v>
      </c>
    </row>
    <row r="39" spans="1:3">
      <c r="A39" t="s">
        <v>67</v>
      </c>
      <c r="B39" t="s">
        <v>45</v>
      </c>
      <c r="C39" t="s">
        <v>48</v>
      </c>
    </row>
    <row r="40" spans="1:3">
      <c r="A40" t="s">
        <v>68</v>
      </c>
      <c r="B40" t="s">
        <v>27</v>
      </c>
      <c r="C40" t="s">
        <v>8</v>
      </c>
    </row>
    <row r="41" spans="1:3">
      <c r="A41" t="s">
        <v>69</v>
      </c>
      <c r="B41" t="s">
        <v>17</v>
      </c>
      <c r="C41" t="s">
        <v>37</v>
      </c>
    </row>
    <row r="42" spans="1:3">
      <c r="A42" t="s">
        <v>70</v>
      </c>
      <c r="B42" t="s">
        <v>4</v>
      </c>
      <c r="C42" t="s">
        <v>37</v>
      </c>
    </row>
    <row r="43" spans="1:3">
      <c r="A43" t="s">
        <v>71</v>
      </c>
      <c r="B43" t="s">
        <v>41</v>
      </c>
      <c r="C43" t="s">
        <v>48</v>
      </c>
    </row>
    <row r="44" spans="1:3">
      <c r="A44" t="s">
        <v>72</v>
      </c>
      <c r="B44" t="s">
        <v>45</v>
      </c>
      <c r="C44" t="s">
        <v>8</v>
      </c>
    </row>
    <row r="45" spans="1:3">
      <c r="A45" t="s">
        <v>73</v>
      </c>
      <c r="B45" t="s">
        <v>17</v>
      </c>
      <c r="C45" t="s">
        <v>8</v>
      </c>
    </row>
    <row r="46" spans="1:3">
      <c r="A46" t="s">
        <v>74</v>
      </c>
      <c r="B46" t="s">
        <v>45</v>
      </c>
      <c r="C46" t="s">
        <v>5</v>
      </c>
    </row>
    <row r="47" spans="1:3">
      <c r="A47" t="s">
        <v>75</v>
      </c>
      <c r="B47" t="s">
        <v>12</v>
      </c>
      <c r="C47" t="s">
        <v>48</v>
      </c>
    </row>
    <row r="48" spans="1:3">
      <c r="A48" t="s">
        <v>76</v>
      </c>
      <c r="B48" t="s">
        <v>77</v>
      </c>
      <c r="C48" t="s">
        <v>28</v>
      </c>
    </row>
    <row r="49" spans="1:3">
      <c r="A49" t="s">
        <v>78</v>
      </c>
      <c r="B49" t="s">
        <v>7</v>
      </c>
      <c r="C49" t="s">
        <v>28</v>
      </c>
    </row>
    <row r="50" spans="1:3">
      <c r="A50" t="s">
        <v>79</v>
      </c>
      <c r="B50" t="s">
        <v>17</v>
      </c>
      <c r="C50" t="s">
        <v>5</v>
      </c>
    </row>
    <row r="51" spans="1:3">
      <c r="A51" t="s">
        <v>80</v>
      </c>
      <c r="B51" t="s">
        <v>27</v>
      </c>
      <c r="C51" t="s">
        <v>25</v>
      </c>
    </row>
    <row r="52" spans="1:3">
      <c r="A52" t="s">
        <v>81</v>
      </c>
      <c r="B52" t="s">
        <v>27</v>
      </c>
      <c r="C52" t="s">
        <v>48</v>
      </c>
    </row>
    <row r="53" spans="1:3">
      <c r="A53" t="s">
        <v>82</v>
      </c>
      <c r="B53" t="s">
        <v>7</v>
      </c>
      <c r="C53" t="s">
        <v>18</v>
      </c>
    </row>
    <row r="54" spans="1:3">
      <c r="A54" t="s">
        <v>83</v>
      </c>
      <c r="B54" t="s">
        <v>7</v>
      </c>
      <c r="C54" t="s">
        <v>22</v>
      </c>
    </row>
    <row r="55" spans="1:3">
      <c r="A55" t="s">
        <v>84</v>
      </c>
      <c r="B55" t="s">
        <v>35</v>
      </c>
      <c r="C55" t="s">
        <v>48</v>
      </c>
    </row>
    <row r="56" spans="1:3">
      <c r="A56" t="s">
        <v>85</v>
      </c>
      <c r="B56" t="s">
        <v>35</v>
      </c>
      <c r="C56" t="s">
        <v>37</v>
      </c>
    </row>
    <row r="57" spans="1:3">
      <c r="A57" t="s">
        <v>86</v>
      </c>
      <c r="B57" t="s">
        <v>30</v>
      </c>
      <c r="C57" t="s">
        <v>8</v>
      </c>
    </row>
    <row r="58" spans="1:3">
      <c r="A58" t="s">
        <v>87</v>
      </c>
      <c r="B58" t="s">
        <v>50</v>
      </c>
      <c r="C58" t="s">
        <v>48</v>
      </c>
    </row>
    <row r="59" spans="1:3">
      <c r="A59" t="s">
        <v>88</v>
      </c>
      <c r="B59" t="s">
        <v>17</v>
      </c>
      <c r="C59" t="s">
        <v>37</v>
      </c>
    </row>
    <row r="60" spans="1:3">
      <c r="A60" t="s">
        <v>89</v>
      </c>
      <c r="B60" t="s">
        <v>7</v>
      </c>
      <c r="C60" t="s">
        <v>22</v>
      </c>
    </row>
    <row r="61" spans="1:3">
      <c r="A61" t="s">
        <v>90</v>
      </c>
      <c r="B61" t="s">
        <v>32</v>
      </c>
      <c r="C61" t="s">
        <v>48</v>
      </c>
    </row>
    <row r="62" spans="1:3">
      <c r="A62" t="s">
        <v>91</v>
      </c>
      <c r="B62" t="s">
        <v>32</v>
      </c>
      <c r="C62" t="s">
        <v>10</v>
      </c>
    </row>
    <row r="63" spans="1:3">
      <c r="A63" t="s">
        <v>92</v>
      </c>
      <c r="B63" t="s">
        <v>59</v>
      </c>
      <c r="C63" t="s">
        <v>5</v>
      </c>
    </row>
    <row r="64" spans="1:3">
      <c r="A64" t="s">
        <v>93</v>
      </c>
      <c r="B64" t="s">
        <v>43</v>
      </c>
      <c r="C64" t="s">
        <v>5</v>
      </c>
    </row>
    <row r="65" spans="1:3">
      <c r="A65" t="s">
        <v>94</v>
      </c>
      <c r="B65" t="s">
        <v>24</v>
      </c>
      <c r="C65" t="s">
        <v>37</v>
      </c>
    </row>
    <row r="66" spans="1:3">
      <c r="A66" t="s">
        <v>95</v>
      </c>
      <c r="B66" t="s">
        <v>27</v>
      </c>
      <c r="C66" t="s">
        <v>18</v>
      </c>
    </row>
    <row r="67" spans="1:3">
      <c r="A67" t="s">
        <v>96</v>
      </c>
      <c r="B67" t="s">
        <v>15</v>
      </c>
      <c r="C67" t="s">
        <v>28</v>
      </c>
    </row>
    <row r="68" spans="1:3">
      <c r="A68" t="s">
        <v>97</v>
      </c>
      <c r="B68" t="s">
        <v>59</v>
      </c>
      <c r="C68" t="s">
        <v>25</v>
      </c>
    </row>
    <row r="69" spans="1:3">
      <c r="A69" t="s">
        <v>98</v>
      </c>
      <c r="B69" t="s">
        <v>15</v>
      </c>
      <c r="C69" t="s">
        <v>22</v>
      </c>
    </row>
    <row r="70" spans="1:3">
      <c r="A70" t="s">
        <v>99</v>
      </c>
      <c r="B70" t="s">
        <v>59</v>
      </c>
      <c r="C70" t="s">
        <v>8</v>
      </c>
    </row>
    <row r="71" spans="1:3">
      <c r="A71" t="s">
        <v>100</v>
      </c>
      <c r="B71" t="s">
        <v>64</v>
      </c>
      <c r="C71" t="s">
        <v>28</v>
      </c>
    </row>
    <row r="72" spans="1:3">
      <c r="A72" t="s">
        <v>101</v>
      </c>
      <c r="B72" t="s">
        <v>17</v>
      </c>
      <c r="C72" t="s">
        <v>13</v>
      </c>
    </row>
    <row r="73" spans="1:3">
      <c r="A73" t="s">
        <v>102</v>
      </c>
      <c r="B73" t="s">
        <v>35</v>
      </c>
      <c r="C73" t="s">
        <v>5</v>
      </c>
    </row>
    <row r="74" spans="1:3">
      <c r="A74" t="s">
        <v>103</v>
      </c>
      <c r="B74" t="s">
        <v>41</v>
      </c>
      <c r="C74" t="s">
        <v>22</v>
      </c>
    </row>
    <row r="75" spans="1:3">
      <c r="A75" t="s">
        <v>104</v>
      </c>
      <c r="B75" t="s">
        <v>4</v>
      </c>
      <c r="C75" t="s">
        <v>28</v>
      </c>
    </row>
    <row r="76" spans="1:3">
      <c r="A76" t="s">
        <v>105</v>
      </c>
      <c r="B76" t="s">
        <v>106</v>
      </c>
      <c r="C76" t="s">
        <v>22</v>
      </c>
    </row>
    <row r="77" spans="1:3">
      <c r="A77" t="s">
        <v>107</v>
      </c>
      <c r="B77" t="s">
        <v>7</v>
      </c>
      <c r="C77" t="s">
        <v>5</v>
      </c>
    </row>
    <row r="78" spans="1:3">
      <c r="A78" t="s">
        <v>108</v>
      </c>
      <c r="B78" t="s">
        <v>21</v>
      </c>
      <c r="C78" t="s">
        <v>22</v>
      </c>
    </row>
    <row r="79" spans="1:3">
      <c r="A79" t="s">
        <v>109</v>
      </c>
      <c r="B79" t="s">
        <v>45</v>
      </c>
      <c r="C79" t="s">
        <v>48</v>
      </c>
    </row>
    <row r="80" spans="1:3">
      <c r="A80" t="s">
        <v>110</v>
      </c>
      <c r="B80" t="s">
        <v>106</v>
      </c>
      <c r="C80" t="s">
        <v>37</v>
      </c>
    </row>
    <row r="81" spans="1:3">
      <c r="A81" t="s">
        <v>111</v>
      </c>
      <c r="B81" t="s">
        <v>12</v>
      </c>
      <c r="C81" t="s">
        <v>37</v>
      </c>
    </row>
    <row r="82" spans="1:3">
      <c r="A82" t="s">
        <v>112</v>
      </c>
      <c r="B82" t="s">
        <v>35</v>
      </c>
      <c r="C82" t="s">
        <v>5</v>
      </c>
    </row>
    <row r="83" spans="1:3">
      <c r="A83" t="s">
        <v>113</v>
      </c>
      <c r="B83" t="s">
        <v>59</v>
      </c>
      <c r="C83" t="s">
        <v>48</v>
      </c>
    </row>
    <row r="84" spans="1:3">
      <c r="A84" t="s">
        <v>114</v>
      </c>
      <c r="B84" t="s">
        <v>115</v>
      </c>
      <c r="C84" t="s">
        <v>48</v>
      </c>
    </row>
    <row r="85" spans="1:3">
      <c r="A85" t="s">
        <v>116</v>
      </c>
      <c r="B85" t="s">
        <v>24</v>
      </c>
      <c r="C85" t="s">
        <v>25</v>
      </c>
    </row>
    <row r="86" spans="1:3">
      <c r="A86" t="s">
        <v>117</v>
      </c>
      <c r="B86" t="s">
        <v>24</v>
      </c>
      <c r="C86" t="s">
        <v>25</v>
      </c>
    </row>
    <row r="87" spans="1:3">
      <c r="A87" t="s">
        <v>118</v>
      </c>
      <c r="B87" t="s">
        <v>77</v>
      </c>
      <c r="C87" t="s">
        <v>18</v>
      </c>
    </row>
    <row r="88" spans="1:3">
      <c r="A88" t="s">
        <v>119</v>
      </c>
      <c r="B88" t="s">
        <v>27</v>
      </c>
      <c r="C88" t="s">
        <v>37</v>
      </c>
    </row>
    <row r="89" spans="1:3">
      <c r="A89" t="s">
        <v>120</v>
      </c>
      <c r="B89" t="s">
        <v>27</v>
      </c>
      <c r="C89" t="s">
        <v>13</v>
      </c>
    </row>
    <row r="90" spans="1:3">
      <c r="A90" t="s">
        <v>121</v>
      </c>
      <c r="B90" t="s">
        <v>115</v>
      </c>
      <c r="C90" t="s">
        <v>22</v>
      </c>
    </row>
    <row r="91" spans="1:3">
      <c r="A91" t="s">
        <v>122</v>
      </c>
      <c r="B91" t="s">
        <v>59</v>
      </c>
      <c r="C91" t="s">
        <v>37</v>
      </c>
    </row>
    <row r="92" spans="1:3">
      <c r="A92" t="s">
        <v>123</v>
      </c>
      <c r="B92" t="s">
        <v>32</v>
      </c>
      <c r="C92" t="s">
        <v>22</v>
      </c>
    </row>
    <row r="93" spans="1:3">
      <c r="A93" t="s">
        <v>124</v>
      </c>
      <c r="B93" t="s">
        <v>24</v>
      </c>
      <c r="C93" t="s">
        <v>5</v>
      </c>
    </row>
    <row r="94" spans="1:3">
      <c r="A94" t="s">
        <v>125</v>
      </c>
      <c r="B94" t="s">
        <v>12</v>
      </c>
      <c r="C94" t="s">
        <v>8</v>
      </c>
    </row>
    <row r="95" spans="1:3">
      <c r="A95" t="s">
        <v>126</v>
      </c>
      <c r="B95" t="s">
        <v>30</v>
      </c>
      <c r="C95" t="s">
        <v>48</v>
      </c>
    </row>
    <row r="96" spans="1:3">
      <c r="A96" t="s">
        <v>127</v>
      </c>
      <c r="B96" t="s">
        <v>50</v>
      </c>
      <c r="C96" t="s">
        <v>8</v>
      </c>
    </row>
    <row r="97" spans="1:3">
      <c r="A97" t="s">
        <v>128</v>
      </c>
      <c r="B97" t="s">
        <v>41</v>
      </c>
      <c r="C97" t="s">
        <v>37</v>
      </c>
    </row>
    <row r="98" spans="1:3">
      <c r="A98" t="s">
        <v>129</v>
      </c>
      <c r="B98" t="s">
        <v>41</v>
      </c>
      <c r="C98" t="s">
        <v>13</v>
      </c>
    </row>
    <row r="99" spans="1:3">
      <c r="A99" t="s">
        <v>130</v>
      </c>
      <c r="B99" t="s">
        <v>32</v>
      </c>
      <c r="C99" t="s">
        <v>48</v>
      </c>
    </row>
    <row r="100" spans="1:3">
      <c r="A100" t="s">
        <v>131</v>
      </c>
      <c r="B100" t="s">
        <v>7</v>
      </c>
      <c r="C100" t="s">
        <v>22</v>
      </c>
    </row>
    <row r="101" spans="1:3">
      <c r="A101" t="s">
        <v>132</v>
      </c>
      <c r="B101" t="s">
        <v>50</v>
      </c>
      <c r="C101" t="s">
        <v>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election activeCell="B1" sqref="B1"/>
    </sheetView>
  </sheetViews>
  <sheetFormatPr defaultRowHeight="14.5"/>
  <sheetData>
    <row r="1" spans="1:4">
      <c r="A1" t="s">
        <v>133</v>
      </c>
      <c r="B1" t="s">
        <v>134</v>
      </c>
      <c r="C1" t="s">
        <v>135</v>
      </c>
      <c r="D1" t="s">
        <v>136</v>
      </c>
    </row>
    <row r="2" spans="1:4">
      <c r="A2" t="s">
        <v>137</v>
      </c>
      <c r="B2" t="s">
        <v>138</v>
      </c>
      <c r="C2" t="s">
        <v>139</v>
      </c>
      <c r="D2">
        <v>50000</v>
      </c>
    </row>
    <row r="3" spans="1:4">
      <c r="A3" t="s">
        <v>140</v>
      </c>
      <c r="B3" t="s">
        <v>141</v>
      </c>
      <c r="C3" t="s">
        <v>139</v>
      </c>
      <c r="D3">
        <v>20000</v>
      </c>
    </row>
    <row r="4" spans="1:4">
      <c r="A4" t="s">
        <v>142</v>
      </c>
      <c r="B4" t="s">
        <v>143</v>
      </c>
      <c r="C4" t="s">
        <v>139</v>
      </c>
      <c r="D4">
        <v>15000</v>
      </c>
    </row>
    <row r="5" spans="1:4">
      <c r="A5" t="s">
        <v>144</v>
      </c>
      <c r="B5" t="s">
        <v>145</v>
      </c>
      <c r="C5" t="s">
        <v>146</v>
      </c>
      <c r="D5">
        <v>3000</v>
      </c>
    </row>
    <row r="6" spans="1:4">
      <c r="A6" t="s">
        <v>147</v>
      </c>
      <c r="B6" t="s">
        <v>148</v>
      </c>
      <c r="C6" t="s">
        <v>146</v>
      </c>
      <c r="D6">
        <v>7000</v>
      </c>
    </row>
    <row r="7" spans="1:4">
      <c r="A7" t="s">
        <v>149</v>
      </c>
      <c r="B7" t="s">
        <v>150</v>
      </c>
      <c r="C7" t="s">
        <v>146</v>
      </c>
      <c r="D7">
        <v>25000</v>
      </c>
    </row>
    <row r="8" spans="1:4">
      <c r="A8" t="s">
        <v>151</v>
      </c>
      <c r="B8" t="s">
        <v>152</v>
      </c>
      <c r="C8" t="s">
        <v>153</v>
      </c>
      <c r="D8">
        <v>1500</v>
      </c>
    </row>
    <row r="9" spans="1:4">
      <c r="A9" t="s">
        <v>154</v>
      </c>
      <c r="B9" t="s">
        <v>155</v>
      </c>
      <c r="C9" t="s">
        <v>153</v>
      </c>
      <c r="D9">
        <v>2500</v>
      </c>
    </row>
    <row r="10" spans="1:4">
      <c r="A10" t="s">
        <v>156</v>
      </c>
      <c r="B10" t="s">
        <v>157</v>
      </c>
      <c r="C10" t="s">
        <v>153</v>
      </c>
      <c r="D10">
        <v>1800</v>
      </c>
    </row>
    <row r="11" spans="1:4">
      <c r="A11" t="s">
        <v>158</v>
      </c>
      <c r="B11" t="s">
        <v>159</v>
      </c>
      <c r="C11" t="s">
        <v>153</v>
      </c>
      <c r="D11">
        <v>3500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01"/>
  <sheetViews>
    <sheetView topLeftCell="A175" workbookViewId="0">
      <selection activeCell="O13" sqref="O13"/>
    </sheetView>
  </sheetViews>
  <sheetFormatPr defaultRowHeight="14.5"/>
  <cols>
    <col min="1" max="1" width="13" bestFit="1" customWidth="1"/>
    <col min="2" max="2" width="12.1796875" bestFit="1" customWidth="1"/>
    <col min="3" max="3" width="16.453125" bestFit="1" customWidth="1"/>
    <col min="4" max="4" width="14.7265625" bestFit="1" customWidth="1"/>
    <col min="5" max="5" width="13.26953125" bestFit="1" customWidth="1"/>
    <col min="6" max="6" width="11.7265625" bestFit="1" customWidth="1"/>
    <col min="7" max="7" width="13.453125" bestFit="1" customWidth="1"/>
    <col min="8" max="8" width="10" bestFit="1" customWidth="1"/>
    <col min="9" max="9" width="11.54296875" bestFit="1" customWidth="1"/>
    <col min="10" max="10" width="10.1796875" bestFit="1" customWidth="1"/>
    <col min="11" max="11" width="20" bestFit="1" customWidth="1"/>
    <col min="12" max="12" width="18.26953125" bestFit="1" customWidth="1"/>
  </cols>
  <sheetData>
    <row r="1" spans="1:12">
      <c r="A1" s="1" t="s">
        <v>160</v>
      </c>
      <c r="B1" s="1" t="s">
        <v>161</v>
      </c>
      <c r="C1" s="1" t="s">
        <v>0</v>
      </c>
      <c r="D1" s="1" t="s">
        <v>133</v>
      </c>
      <c r="E1" s="1" t="s">
        <v>162</v>
      </c>
      <c r="F1" s="1" t="s">
        <v>2</v>
      </c>
      <c r="G1" s="1" t="s">
        <v>135</v>
      </c>
      <c r="H1" s="1" t="s">
        <v>136</v>
      </c>
      <c r="I1" s="1" t="s">
        <v>445</v>
      </c>
      <c r="J1" s="1" t="s">
        <v>446</v>
      </c>
      <c r="K1" s="1" t="s">
        <v>1</v>
      </c>
      <c r="L1" s="1" t="s">
        <v>134</v>
      </c>
    </row>
    <row r="2" spans="1:12">
      <c r="A2" s="1">
        <v>1001</v>
      </c>
      <c r="B2" s="1" t="s">
        <v>163</v>
      </c>
      <c r="C2" s="1" t="s">
        <v>49</v>
      </c>
      <c r="D2" s="1" t="s">
        <v>149</v>
      </c>
      <c r="E2" s="1">
        <v>2</v>
      </c>
      <c r="F2" s="1" t="str">
        <f>_xlfn.XLOOKUP(C2,Customers!A:A,Customers!C:C,"MISSING")</f>
        <v>Ahmedabad</v>
      </c>
      <c r="G2" s="1" t="str">
        <f>_xlfn.XLOOKUP(D2,Products!A:A,Products!C:C,"MISSING")</f>
        <v>Furniture</v>
      </c>
      <c r="H2" s="1">
        <f>_xlfn.XLOOKUP(D2,Products!A:A,Products!D:D,"MISSING")</f>
        <v>25000</v>
      </c>
      <c r="I2" s="1" t="str">
        <f>TEXT(B2,"mmm")</f>
        <v>Nov</v>
      </c>
      <c r="J2" s="1">
        <f>E2*H2</f>
        <v>50000</v>
      </c>
      <c r="K2" s="1" t="str">
        <f>_xlfn.XLOOKUP(C2,Customers!A:A,Customers!B:B,"MISSING")</f>
        <v>Ravi Patel</v>
      </c>
      <c r="L2" s="1" t="str">
        <f>_xlfn.XLOOKUP(D2,Products!A:A,Products!B:B,"MISSING")</f>
        <v>Sofa</v>
      </c>
    </row>
    <row r="3" spans="1:12">
      <c r="A3" s="1">
        <v>1002</v>
      </c>
      <c r="B3" s="1" t="s">
        <v>164</v>
      </c>
      <c r="C3" s="1" t="s">
        <v>33</v>
      </c>
      <c r="D3" s="1" t="s">
        <v>154</v>
      </c>
      <c r="E3" s="1">
        <v>1</v>
      </c>
      <c r="F3" s="1" t="str">
        <f>_xlfn.XLOOKUP(C3,Customers!A:A,Customers!C:C,"MISSING")</f>
        <v>Ahmedabad</v>
      </c>
      <c r="G3" s="1" t="str">
        <f>_xlfn.XLOOKUP(D3,Products!A:A,Products!C:C,"MISSING")</f>
        <v>Clothing</v>
      </c>
      <c r="H3" s="1">
        <f>_xlfn.XLOOKUP(D3,Products!A:A,Products!D:D,"MISSING")</f>
        <v>2500</v>
      </c>
      <c r="I3" s="1" t="str">
        <f t="shared" ref="I3:I66" si="0">TEXT(B3,"mmm")</f>
        <v>Jan</v>
      </c>
      <c r="J3" s="1">
        <f t="shared" ref="J3:J66" si="1">E3*H3</f>
        <v>2500</v>
      </c>
      <c r="K3" s="1" t="str">
        <f>_xlfn.XLOOKUP(C3,Customers!A:A,Customers!B:B,"MISSING")</f>
        <v>Priya Kapoor</v>
      </c>
      <c r="L3" s="1" t="str">
        <f>_xlfn.XLOOKUP(D3,Products!A:A,Products!B:B,"MISSING")</f>
        <v>Jeans</v>
      </c>
    </row>
    <row r="4" spans="1:12">
      <c r="A4" s="1">
        <v>1003</v>
      </c>
      <c r="B4" s="1" t="s">
        <v>165</v>
      </c>
      <c r="C4" s="1" t="s">
        <v>124</v>
      </c>
      <c r="D4" s="1" t="s">
        <v>156</v>
      </c>
      <c r="E4" s="1">
        <v>4</v>
      </c>
      <c r="F4" s="1" t="str">
        <f>_xlfn.XLOOKUP(C4,Customers!A:A,Customers!C:C,"MISSING")</f>
        <v>Lucknow</v>
      </c>
      <c r="G4" s="1" t="str">
        <f>_xlfn.XLOOKUP(D4,Products!A:A,Products!C:C,"MISSING")</f>
        <v>Clothing</v>
      </c>
      <c r="H4" s="1">
        <f>_xlfn.XLOOKUP(D4,Products!A:A,Products!D:D,"MISSING")</f>
        <v>1800</v>
      </c>
      <c r="I4" s="1" t="str">
        <f t="shared" si="0"/>
        <v>Dec</v>
      </c>
      <c r="J4" s="1">
        <f t="shared" si="1"/>
        <v>7200</v>
      </c>
      <c r="K4" s="1" t="str">
        <f>_xlfn.XLOOKUP(C4,Customers!A:A,Customers!B:B,"MISSING")</f>
        <v>Tanya Sethi</v>
      </c>
      <c r="L4" s="1" t="str">
        <f>_xlfn.XLOOKUP(D4,Products!A:A,Products!B:B,"MISSING")</f>
        <v>Shirt</v>
      </c>
    </row>
    <row r="5" spans="1:12">
      <c r="A5" s="1">
        <v>1004</v>
      </c>
      <c r="B5" s="1" t="s">
        <v>166</v>
      </c>
      <c r="C5" s="1" t="s">
        <v>105</v>
      </c>
      <c r="D5" s="1" t="s">
        <v>142</v>
      </c>
      <c r="E5" s="1">
        <v>4</v>
      </c>
      <c r="F5" s="1" t="str">
        <f>_xlfn.XLOOKUP(C5,Customers!A:A,Customers!C:C,"MISSING")</f>
        <v>Bangalore</v>
      </c>
      <c r="G5" s="1" t="str">
        <f>_xlfn.XLOOKUP(D5,Products!A:A,Products!C:C,"MISSING")</f>
        <v>Electronics</v>
      </c>
      <c r="H5" s="1">
        <f>_xlfn.XLOOKUP(D5,Products!A:A,Products!D:D,"MISSING")</f>
        <v>15000</v>
      </c>
      <c r="I5" s="1" t="str">
        <f t="shared" si="0"/>
        <v>May</v>
      </c>
      <c r="J5" s="1">
        <f t="shared" si="1"/>
        <v>60000</v>
      </c>
      <c r="K5" s="1" t="str">
        <f>_xlfn.XLOOKUP(C5,Customers!A:A,Customers!B:B,"MISSING")</f>
        <v>Meera Kulkarni</v>
      </c>
      <c r="L5" s="1" t="str">
        <f>_xlfn.XLOOKUP(D5,Products!A:A,Products!B:B,"MISSING")</f>
        <v>Tablet</v>
      </c>
    </row>
    <row r="6" spans="1:12">
      <c r="A6" s="1">
        <v>1005</v>
      </c>
      <c r="B6" s="1" t="s">
        <v>167</v>
      </c>
      <c r="C6" s="1" t="s">
        <v>67</v>
      </c>
      <c r="D6" s="1" t="s">
        <v>158</v>
      </c>
      <c r="E6" s="1">
        <v>2</v>
      </c>
      <c r="F6" s="1" t="str">
        <f>_xlfn.XLOOKUP(C6,Customers!A:A,Customers!C:C,"MISSING")</f>
        <v>Mumbai</v>
      </c>
      <c r="G6" s="1" t="str">
        <f>_xlfn.XLOOKUP(D6,Products!A:A,Products!C:C,"MISSING")</f>
        <v>Clothing</v>
      </c>
      <c r="H6" s="1">
        <f>_xlfn.XLOOKUP(D6,Products!A:A,Products!D:D,"MISSING")</f>
        <v>3500</v>
      </c>
      <c r="I6" s="1" t="str">
        <f t="shared" si="0"/>
        <v>Mar</v>
      </c>
      <c r="J6" s="1">
        <f t="shared" si="1"/>
        <v>7000</v>
      </c>
      <c r="K6" s="1" t="str">
        <f>_xlfn.XLOOKUP(C6,Customers!A:A,Customers!B:B,"MISSING")</f>
        <v>Nitin Joshi</v>
      </c>
      <c r="L6" s="1" t="str">
        <f>_xlfn.XLOOKUP(D6,Products!A:A,Products!B:B,"MISSING")</f>
        <v>Shoes</v>
      </c>
    </row>
    <row r="7" spans="1:12">
      <c r="A7" s="1">
        <v>1006</v>
      </c>
      <c r="B7" s="1" t="s">
        <v>168</v>
      </c>
      <c r="C7" s="1" t="s">
        <v>84</v>
      </c>
      <c r="D7" s="1" t="s">
        <v>144</v>
      </c>
      <c r="E7" s="1">
        <v>5</v>
      </c>
      <c r="F7" s="1" t="str">
        <f>_xlfn.XLOOKUP(C7,Customers!A:A,Customers!C:C,"MISSING")</f>
        <v>Mumbai</v>
      </c>
      <c r="G7" s="1" t="str">
        <f>_xlfn.XLOOKUP(D7,Products!A:A,Products!C:C,"MISSING")</f>
        <v>Furniture</v>
      </c>
      <c r="H7" s="1">
        <f>_xlfn.XLOOKUP(D7,Products!A:A,Products!D:D,"MISSING")</f>
        <v>3000</v>
      </c>
      <c r="I7" s="1" t="str">
        <f t="shared" si="0"/>
        <v>Apr</v>
      </c>
      <c r="J7" s="1">
        <f t="shared" si="1"/>
        <v>15000</v>
      </c>
      <c r="K7" s="1" t="str">
        <f>_xlfn.XLOOKUP(C7,Customers!A:A,Customers!B:B,"MISSING")</f>
        <v>Manav Arora</v>
      </c>
      <c r="L7" s="1" t="str">
        <f>_xlfn.XLOOKUP(D7,Products!A:A,Products!B:B,"MISSING")</f>
        <v>Chair</v>
      </c>
    </row>
    <row r="8" spans="1:12">
      <c r="A8" s="1">
        <v>1007</v>
      </c>
      <c r="B8" s="1" t="s">
        <v>169</v>
      </c>
      <c r="C8" s="1" t="s">
        <v>125</v>
      </c>
      <c r="D8" s="1" t="s">
        <v>151</v>
      </c>
      <c r="E8" s="1">
        <v>1</v>
      </c>
      <c r="F8" s="1" t="str">
        <f>_xlfn.XLOOKUP(C8,Customers!A:A,Customers!C:C,"MISSING")</f>
        <v>Pune</v>
      </c>
      <c r="G8" s="1" t="str">
        <f>_xlfn.XLOOKUP(D8,Products!A:A,Products!C:C,"MISSING")</f>
        <v>Clothing</v>
      </c>
      <c r="H8" s="1">
        <f>_xlfn.XLOOKUP(D8,Products!A:A,Products!D:D,"MISSING")</f>
        <v>1500</v>
      </c>
      <c r="I8" s="1" t="str">
        <f t="shared" si="0"/>
        <v>Jan</v>
      </c>
      <c r="J8" s="1">
        <f t="shared" si="1"/>
        <v>1500</v>
      </c>
      <c r="K8" s="1" t="str">
        <f>_xlfn.XLOOKUP(C8,Customers!A:A,Customers!B:B,"MISSING")</f>
        <v>Sneha Iyer</v>
      </c>
      <c r="L8" s="1" t="str">
        <f>_xlfn.XLOOKUP(D8,Products!A:A,Products!B:B,"MISSING")</f>
        <v>T-Shirt</v>
      </c>
    </row>
    <row r="9" spans="1:12">
      <c r="A9" s="1">
        <v>1008</v>
      </c>
      <c r="B9" s="1" t="s">
        <v>170</v>
      </c>
      <c r="C9" s="1" t="s">
        <v>23</v>
      </c>
      <c r="D9" s="1" t="s">
        <v>154</v>
      </c>
      <c r="E9" s="1">
        <v>5</v>
      </c>
      <c r="F9" s="1" t="str">
        <f>_xlfn.XLOOKUP(C9,Customers!A:A,Customers!C:C,"MISSING")</f>
        <v>Kolkata</v>
      </c>
      <c r="G9" s="1" t="str">
        <f>_xlfn.XLOOKUP(D9,Products!A:A,Products!C:C,"MISSING")</f>
        <v>Clothing</v>
      </c>
      <c r="H9" s="1">
        <f>_xlfn.XLOOKUP(D9,Products!A:A,Products!D:D,"MISSING")</f>
        <v>2500</v>
      </c>
      <c r="I9" s="1" t="str">
        <f t="shared" si="0"/>
        <v>Jul</v>
      </c>
      <c r="J9" s="1">
        <f t="shared" si="1"/>
        <v>12500</v>
      </c>
      <c r="K9" s="1" t="str">
        <f>_xlfn.XLOOKUP(C9,Customers!A:A,Customers!B:B,"MISSING")</f>
        <v>Tanya Sethi</v>
      </c>
      <c r="L9" s="1" t="str">
        <f>_xlfn.XLOOKUP(D9,Products!A:A,Products!B:B,"MISSING")</f>
        <v>Jeans</v>
      </c>
    </row>
    <row r="10" spans="1:12">
      <c r="A10" s="1">
        <v>1009</v>
      </c>
      <c r="B10" s="1" t="s">
        <v>171</v>
      </c>
      <c r="C10" s="1" t="s">
        <v>125</v>
      </c>
      <c r="D10" s="1" t="s">
        <v>154</v>
      </c>
      <c r="E10" s="1">
        <v>4</v>
      </c>
      <c r="F10" s="1" t="str">
        <f>_xlfn.XLOOKUP(C10,Customers!A:A,Customers!C:C,"MISSING")</f>
        <v>Pune</v>
      </c>
      <c r="G10" s="1" t="str">
        <f>_xlfn.XLOOKUP(D10,Products!A:A,Products!C:C,"MISSING")</f>
        <v>Clothing</v>
      </c>
      <c r="H10" s="1">
        <f>_xlfn.XLOOKUP(D10,Products!A:A,Products!D:D,"MISSING")</f>
        <v>2500</v>
      </c>
      <c r="I10" s="1" t="str">
        <f t="shared" si="0"/>
        <v>May</v>
      </c>
      <c r="J10" s="1">
        <f t="shared" si="1"/>
        <v>10000</v>
      </c>
      <c r="K10" s="1" t="str">
        <f>_xlfn.XLOOKUP(C10,Customers!A:A,Customers!B:B,"MISSING")</f>
        <v>Sneha Iyer</v>
      </c>
      <c r="L10" s="1" t="str">
        <f>_xlfn.XLOOKUP(D10,Products!A:A,Products!B:B,"MISSING")</f>
        <v>Jeans</v>
      </c>
    </row>
    <row r="11" spans="1:12">
      <c r="A11" s="1">
        <v>1010</v>
      </c>
      <c r="B11" s="1" t="s">
        <v>172</v>
      </c>
      <c r="C11" s="1" t="s">
        <v>99</v>
      </c>
      <c r="D11" s="1" t="s">
        <v>140</v>
      </c>
      <c r="E11" s="1">
        <v>2</v>
      </c>
      <c r="F11" s="1" t="str">
        <f>_xlfn.XLOOKUP(C11,Customers!A:A,Customers!C:C,"MISSING")</f>
        <v>Pune</v>
      </c>
      <c r="G11" s="1" t="str">
        <f>_xlfn.XLOOKUP(D11,Products!A:A,Products!C:C,"MISSING")</f>
        <v>Electronics</v>
      </c>
      <c r="H11" s="1">
        <f>_xlfn.XLOOKUP(D11,Products!A:A,Products!D:D,"MISSING")</f>
        <v>20000</v>
      </c>
      <c r="I11" s="1" t="str">
        <f t="shared" si="0"/>
        <v>Aug</v>
      </c>
      <c r="J11" s="1">
        <f t="shared" si="1"/>
        <v>40000</v>
      </c>
      <c r="K11" s="1" t="str">
        <f>_xlfn.XLOOKUP(C11,Customers!A:A,Customers!B:B,"MISSING")</f>
        <v>Rohit Sen</v>
      </c>
      <c r="L11" s="1" t="str">
        <f>_xlfn.XLOOKUP(D11,Products!A:A,Products!B:B,"MISSING")</f>
        <v>Mobile</v>
      </c>
    </row>
    <row r="12" spans="1:12">
      <c r="A12" s="1">
        <v>1011</v>
      </c>
      <c r="B12" s="1" t="s">
        <v>173</v>
      </c>
      <c r="C12" s="1" t="s">
        <v>16</v>
      </c>
      <c r="D12" s="1" t="s">
        <v>144</v>
      </c>
      <c r="E12" s="1">
        <v>3</v>
      </c>
      <c r="F12" s="1" t="str">
        <f>_xlfn.XLOOKUP(C12,Customers!A:A,Customers!C:C,"MISSING")</f>
        <v>Hyderabad</v>
      </c>
      <c r="G12" s="1" t="str">
        <f>_xlfn.XLOOKUP(D12,Products!A:A,Products!C:C,"MISSING")</f>
        <v>Furniture</v>
      </c>
      <c r="H12" s="1">
        <f>_xlfn.XLOOKUP(D12,Products!A:A,Products!D:D,"MISSING")</f>
        <v>3000</v>
      </c>
      <c r="I12" s="1" t="str">
        <f t="shared" si="0"/>
        <v>Nov</v>
      </c>
      <c r="J12" s="1">
        <f t="shared" si="1"/>
        <v>9000</v>
      </c>
      <c r="K12" s="1" t="str">
        <f>_xlfn.XLOOKUP(C12,Customers!A:A,Customers!B:B,"MISSING")</f>
        <v>Rahul Sharma</v>
      </c>
      <c r="L12" s="1" t="str">
        <f>_xlfn.XLOOKUP(D12,Products!A:A,Products!B:B,"MISSING")</f>
        <v>Chair</v>
      </c>
    </row>
    <row r="13" spans="1:12">
      <c r="A13" s="1">
        <v>1012</v>
      </c>
      <c r="B13" s="1" t="s">
        <v>174</v>
      </c>
      <c r="C13" s="1" t="s">
        <v>93</v>
      </c>
      <c r="D13" s="1" t="s">
        <v>149</v>
      </c>
      <c r="E13" s="1">
        <v>1</v>
      </c>
      <c r="F13" s="1" t="str">
        <f>_xlfn.XLOOKUP(C13,Customers!A:A,Customers!C:C,"MISSING")</f>
        <v>Lucknow</v>
      </c>
      <c r="G13" s="1" t="str">
        <f>_xlfn.XLOOKUP(D13,Products!A:A,Products!C:C,"MISSING")</f>
        <v>Furniture</v>
      </c>
      <c r="H13" s="1">
        <f>_xlfn.XLOOKUP(D13,Products!A:A,Products!D:D,"MISSING")</f>
        <v>25000</v>
      </c>
      <c r="I13" s="1" t="str">
        <f t="shared" si="0"/>
        <v>Jun</v>
      </c>
      <c r="J13" s="1">
        <f t="shared" si="1"/>
        <v>25000</v>
      </c>
      <c r="K13" s="1" t="str">
        <f>_xlfn.XLOOKUP(C13,Customers!A:A,Customers!B:B,"MISSING")</f>
        <v>Ankit Roy</v>
      </c>
      <c r="L13" s="1" t="str">
        <f>_xlfn.XLOOKUP(D13,Products!A:A,Products!B:B,"MISSING")</f>
        <v>Sofa</v>
      </c>
    </row>
    <row r="14" spans="1:12">
      <c r="A14" s="1">
        <v>1013</v>
      </c>
      <c r="B14" s="1" t="s">
        <v>175</v>
      </c>
      <c r="C14" s="1" t="s">
        <v>93</v>
      </c>
      <c r="D14" s="1" t="s">
        <v>149</v>
      </c>
      <c r="E14" s="1">
        <v>2</v>
      </c>
      <c r="F14" s="1" t="str">
        <f>_xlfn.XLOOKUP(C14,Customers!A:A,Customers!C:C,"MISSING")</f>
        <v>Lucknow</v>
      </c>
      <c r="G14" s="1" t="str">
        <f>_xlfn.XLOOKUP(D14,Products!A:A,Products!C:C,"MISSING")</f>
        <v>Furniture</v>
      </c>
      <c r="H14" s="1">
        <f>_xlfn.XLOOKUP(D14,Products!A:A,Products!D:D,"MISSING")</f>
        <v>25000</v>
      </c>
      <c r="I14" s="1" t="str">
        <f t="shared" si="0"/>
        <v>Sep</v>
      </c>
      <c r="J14" s="1">
        <f t="shared" si="1"/>
        <v>50000</v>
      </c>
      <c r="K14" s="1" t="str">
        <f>_xlfn.XLOOKUP(C14,Customers!A:A,Customers!B:B,"MISSING")</f>
        <v>Ankit Roy</v>
      </c>
      <c r="L14" s="1" t="str">
        <f>_xlfn.XLOOKUP(D14,Products!A:A,Products!B:B,"MISSING")</f>
        <v>Sofa</v>
      </c>
    </row>
    <row r="15" spans="1:12">
      <c r="A15" s="1">
        <v>1014</v>
      </c>
      <c r="B15" s="1" t="s">
        <v>176</v>
      </c>
      <c r="C15" s="1" t="s">
        <v>33</v>
      </c>
      <c r="D15" s="1" t="s">
        <v>154</v>
      </c>
      <c r="E15" s="1">
        <v>2</v>
      </c>
      <c r="F15" s="1" t="str">
        <f>_xlfn.XLOOKUP(C15,Customers!A:A,Customers!C:C,"MISSING")</f>
        <v>Ahmedabad</v>
      </c>
      <c r="G15" s="1" t="str">
        <f>_xlfn.XLOOKUP(D15,Products!A:A,Products!C:C,"MISSING")</f>
        <v>Clothing</v>
      </c>
      <c r="H15" s="1">
        <f>_xlfn.XLOOKUP(D15,Products!A:A,Products!D:D,"MISSING")</f>
        <v>2500</v>
      </c>
      <c r="I15" s="1" t="str">
        <f t="shared" si="0"/>
        <v>May</v>
      </c>
      <c r="J15" s="1">
        <f t="shared" si="1"/>
        <v>5000</v>
      </c>
      <c r="K15" s="1" t="str">
        <f>_xlfn.XLOOKUP(C15,Customers!A:A,Customers!B:B,"MISSING")</f>
        <v>Priya Kapoor</v>
      </c>
      <c r="L15" s="1" t="str">
        <f>_xlfn.XLOOKUP(D15,Products!A:A,Products!B:B,"MISSING")</f>
        <v>Jeans</v>
      </c>
    </row>
    <row r="16" spans="1:12">
      <c r="A16" s="1">
        <v>1015</v>
      </c>
      <c r="B16" s="1" t="s">
        <v>177</v>
      </c>
      <c r="C16" s="1" t="s">
        <v>58</v>
      </c>
      <c r="D16" s="1" t="s">
        <v>149</v>
      </c>
      <c r="E16" s="1">
        <v>5</v>
      </c>
      <c r="F16" s="1" t="str">
        <f>_xlfn.XLOOKUP(C16,Customers!A:A,Customers!C:C,"MISSING")</f>
        <v>Bangalore</v>
      </c>
      <c r="G16" s="1" t="str">
        <f>_xlfn.XLOOKUP(D16,Products!A:A,Products!C:C,"MISSING")</f>
        <v>Furniture</v>
      </c>
      <c r="H16" s="1">
        <f>_xlfn.XLOOKUP(D16,Products!A:A,Products!D:D,"MISSING")</f>
        <v>25000</v>
      </c>
      <c r="I16" s="1" t="str">
        <f t="shared" si="0"/>
        <v>Dec</v>
      </c>
      <c r="J16" s="1">
        <f t="shared" si="1"/>
        <v>125000</v>
      </c>
      <c r="K16" s="1" t="str">
        <f>_xlfn.XLOOKUP(C16,Customers!A:A,Customers!B:B,"MISSING")</f>
        <v>Rohit Sen</v>
      </c>
      <c r="L16" s="1" t="str">
        <f>_xlfn.XLOOKUP(D16,Products!A:A,Products!B:B,"MISSING")</f>
        <v>Sofa</v>
      </c>
    </row>
    <row r="17" spans="1:12">
      <c r="A17" s="1">
        <v>1016</v>
      </c>
      <c r="B17" s="1" t="s">
        <v>178</v>
      </c>
      <c r="C17" s="1" t="s">
        <v>51</v>
      </c>
      <c r="D17" s="1" t="s">
        <v>144</v>
      </c>
      <c r="E17" s="1">
        <v>3</v>
      </c>
      <c r="F17" s="1" t="str">
        <f>_xlfn.XLOOKUP(C17,Customers!A:A,Customers!C:C,"MISSING")</f>
        <v>Mumbai</v>
      </c>
      <c r="G17" s="1" t="str">
        <f>_xlfn.XLOOKUP(D17,Products!A:A,Products!C:C,"MISSING")</f>
        <v>Furniture</v>
      </c>
      <c r="H17" s="1">
        <f>_xlfn.XLOOKUP(D17,Products!A:A,Products!D:D,"MISSING")</f>
        <v>3000</v>
      </c>
      <c r="I17" s="1" t="str">
        <f t="shared" si="0"/>
        <v>Jul</v>
      </c>
      <c r="J17" s="1">
        <f t="shared" si="1"/>
        <v>9000</v>
      </c>
      <c r="K17" s="1" t="str">
        <f>_xlfn.XLOOKUP(C17,Customers!A:A,Customers!B:B,"MISSING")</f>
        <v>Rahul Sharma</v>
      </c>
      <c r="L17" s="1" t="str">
        <f>_xlfn.XLOOKUP(D17,Products!A:A,Products!B:B,"MISSING")</f>
        <v>Chair</v>
      </c>
    </row>
    <row r="18" spans="1:12">
      <c r="A18" s="1">
        <v>1017</v>
      </c>
      <c r="B18" s="1" t="s">
        <v>179</v>
      </c>
      <c r="C18" s="1" t="s">
        <v>40</v>
      </c>
      <c r="D18" s="1" t="s">
        <v>156</v>
      </c>
      <c r="E18" s="1">
        <v>5</v>
      </c>
      <c r="F18" s="1" t="str">
        <f>_xlfn.XLOOKUP(C18,Customers!A:A,Customers!C:C,"MISSING")</f>
        <v>Ahmedabad</v>
      </c>
      <c r="G18" s="1" t="str">
        <f>_xlfn.XLOOKUP(D18,Products!A:A,Products!C:C,"MISSING")</f>
        <v>Clothing</v>
      </c>
      <c r="H18" s="1">
        <f>_xlfn.XLOOKUP(D18,Products!A:A,Products!D:D,"MISSING")</f>
        <v>1800</v>
      </c>
      <c r="I18" s="1" t="str">
        <f t="shared" si="0"/>
        <v>Jun</v>
      </c>
      <c r="J18" s="1">
        <f t="shared" si="1"/>
        <v>9000</v>
      </c>
      <c r="K18" s="1" t="str">
        <f>_xlfn.XLOOKUP(C18,Customers!A:A,Customers!B:B,"MISSING")</f>
        <v>Neha Singh</v>
      </c>
      <c r="L18" s="1" t="str">
        <f>_xlfn.XLOOKUP(D18,Products!A:A,Products!B:B,"MISSING")</f>
        <v>Shirt</v>
      </c>
    </row>
    <row r="19" spans="1:12">
      <c r="A19" s="1">
        <v>1018</v>
      </c>
      <c r="B19" s="1" t="s">
        <v>180</v>
      </c>
      <c r="C19" s="1" t="s">
        <v>62</v>
      </c>
      <c r="D19" s="1" t="s">
        <v>149</v>
      </c>
      <c r="E19" s="1">
        <v>3</v>
      </c>
      <c r="F19" s="1" t="str">
        <f>_xlfn.XLOOKUP(C19,Customers!A:A,Customers!C:C,"MISSING")</f>
        <v>Delhi</v>
      </c>
      <c r="G19" s="1" t="str">
        <f>_xlfn.XLOOKUP(D19,Products!A:A,Products!C:C,"MISSING")</f>
        <v>Furniture</v>
      </c>
      <c r="H19" s="1">
        <f>_xlfn.XLOOKUP(D19,Products!A:A,Products!D:D,"MISSING")</f>
        <v>25000</v>
      </c>
      <c r="I19" s="1" t="str">
        <f t="shared" si="0"/>
        <v>Sep</v>
      </c>
      <c r="J19" s="1">
        <f t="shared" si="1"/>
        <v>75000</v>
      </c>
      <c r="K19" s="1" t="str">
        <f>_xlfn.XLOOKUP(C19,Customers!A:A,Customers!B:B,"MISSING")</f>
        <v>Ravi Patel</v>
      </c>
      <c r="L19" s="1" t="str">
        <f>_xlfn.XLOOKUP(D19,Products!A:A,Products!B:B,"MISSING")</f>
        <v>Sofa</v>
      </c>
    </row>
    <row r="20" spans="1:12">
      <c r="A20" s="1">
        <v>1019</v>
      </c>
      <c r="B20" s="1" t="s">
        <v>181</v>
      </c>
      <c r="C20" s="1" t="s">
        <v>52</v>
      </c>
      <c r="D20" s="1" t="s">
        <v>137</v>
      </c>
      <c r="E20" s="1">
        <v>1</v>
      </c>
      <c r="F20" s="1" t="str">
        <f>_xlfn.XLOOKUP(C20,Customers!A:A,Customers!C:C,"MISSING")</f>
        <v>Bangalore</v>
      </c>
      <c r="G20" s="1" t="str">
        <f>_xlfn.XLOOKUP(D20,Products!A:A,Products!C:C,"MISSING")</f>
        <v>Electronics</v>
      </c>
      <c r="H20" s="1">
        <f>_xlfn.XLOOKUP(D20,Products!A:A,Products!D:D,"MISSING")</f>
        <v>50000</v>
      </c>
      <c r="I20" s="1" t="str">
        <f t="shared" si="0"/>
        <v>Apr</v>
      </c>
      <c r="J20" s="1">
        <f t="shared" si="1"/>
        <v>50000</v>
      </c>
      <c r="K20" s="1" t="str">
        <f>_xlfn.XLOOKUP(C20,Customers!A:A,Customers!B:B,"MISSING")</f>
        <v>Tanya Sethi</v>
      </c>
      <c r="L20" s="1" t="str">
        <f>_xlfn.XLOOKUP(D20,Products!A:A,Products!B:B,"MISSING")</f>
        <v>Laptop</v>
      </c>
    </row>
    <row r="21" spans="1:12">
      <c r="A21" s="1">
        <v>1020</v>
      </c>
      <c r="B21" s="1" t="s">
        <v>182</v>
      </c>
      <c r="C21" s="1" t="s">
        <v>65</v>
      </c>
      <c r="D21" s="1" t="s">
        <v>137</v>
      </c>
      <c r="E21" s="1">
        <v>3</v>
      </c>
      <c r="F21" s="1" t="str">
        <f>_xlfn.XLOOKUP(C21,Customers!A:A,Customers!C:C,"MISSING")</f>
        <v>Hyderabad</v>
      </c>
      <c r="G21" s="1" t="str">
        <f>_xlfn.XLOOKUP(D21,Products!A:A,Products!C:C,"MISSING")</f>
        <v>Electronics</v>
      </c>
      <c r="H21" s="1">
        <f>_xlfn.XLOOKUP(D21,Products!A:A,Products!D:D,"MISSING")</f>
        <v>50000</v>
      </c>
      <c r="I21" s="1" t="str">
        <f t="shared" si="0"/>
        <v>Nov</v>
      </c>
      <c r="J21" s="1">
        <f t="shared" si="1"/>
        <v>150000</v>
      </c>
      <c r="K21" s="1" t="str">
        <f>_xlfn.XLOOKUP(C21,Customers!A:A,Customers!B:B,"MISSING")</f>
        <v>Sneha Iyer</v>
      </c>
      <c r="L21" s="1" t="str">
        <f>_xlfn.XLOOKUP(D21,Products!A:A,Products!B:B,"MISSING")</f>
        <v>Laptop</v>
      </c>
    </row>
    <row r="22" spans="1:12">
      <c r="A22" s="1">
        <v>1021</v>
      </c>
      <c r="B22" s="1" t="s">
        <v>183</v>
      </c>
      <c r="C22" s="1" t="s">
        <v>23</v>
      </c>
      <c r="D22" s="1" t="s">
        <v>154</v>
      </c>
      <c r="E22" s="1">
        <v>4</v>
      </c>
      <c r="F22" s="1" t="str">
        <f>_xlfn.XLOOKUP(C22,Customers!A:A,Customers!C:C,"MISSING")</f>
        <v>Kolkata</v>
      </c>
      <c r="G22" s="1" t="str">
        <f>_xlfn.XLOOKUP(D22,Products!A:A,Products!C:C,"MISSING")</f>
        <v>Clothing</v>
      </c>
      <c r="H22" s="1">
        <f>_xlfn.XLOOKUP(D22,Products!A:A,Products!D:D,"MISSING")</f>
        <v>2500</v>
      </c>
      <c r="I22" s="1" t="str">
        <f t="shared" si="0"/>
        <v>Nov</v>
      </c>
      <c r="J22" s="1">
        <f t="shared" si="1"/>
        <v>10000</v>
      </c>
      <c r="K22" s="1" t="str">
        <f>_xlfn.XLOOKUP(C22,Customers!A:A,Customers!B:B,"MISSING")</f>
        <v>Tanya Sethi</v>
      </c>
      <c r="L22" s="1" t="str">
        <f>_xlfn.XLOOKUP(D22,Products!A:A,Products!B:B,"MISSING")</f>
        <v>Jeans</v>
      </c>
    </row>
    <row r="23" spans="1:12">
      <c r="A23" s="1">
        <v>1022</v>
      </c>
      <c r="B23" s="1" t="s">
        <v>181</v>
      </c>
      <c r="C23" s="1" t="s">
        <v>29</v>
      </c>
      <c r="D23" s="1" t="s">
        <v>142</v>
      </c>
      <c r="E23" s="1">
        <v>4</v>
      </c>
      <c r="F23" s="1" t="str">
        <f>_xlfn.XLOOKUP(C23,Customers!A:A,Customers!C:C,"MISSING")</f>
        <v>Chennai</v>
      </c>
      <c r="G23" s="1" t="str">
        <f>_xlfn.XLOOKUP(D23,Products!A:A,Products!C:C,"MISSING")</f>
        <v>Electronics</v>
      </c>
      <c r="H23" s="1">
        <f>_xlfn.XLOOKUP(D23,Products!A:A,Products!D:D,"MISSING")</f>
        <v>15000</v>
      </c>
      <c r="I23" s="1" t="str">
        <f t="shared" si="0"/>
        <v>Apr</v>
      </c>
      <c r="J23" s="1">
        <f t="shared" si="1"/>
        <v>60000</v>
      </c>
      <c r="K23" s="1" t="str">
        <f>_xlfn.XLOOKUP(C23,Customers!A:A,Customers!B:B,"MISSING")</f>
        <v>Sejal Shah</v>
      </c>
      <c r="L23" s="1" t="str">
        <f>_xlfn.XLOOKUP(D23,Products!A:A,Products!B:B,"MISSING")</f>
        <v>Tablet</v>
      </c>
    </row>
    <row r="24" spans="1:12">
      <c r="A24" s="1">
        <v>1023</v>
      </c>
      <c r="B24" s="1" t="s">
        <v>184</v>
      </c>
      <c r="C24" s="1" t="s">
        <v>102</v>
      </c>
      <c r="D24" s="1" t="s">
        <v>140</v>
      </c>
      <c r="E24" s="1">
        <v>4</v>
      </c>
      <c r="F24" s="1" t="str">
        <f>_xlfn.XLOOKUP(C24,Customers!A:A,Customers!C:C,"MISSING")</f>
        <v>Lucknow</v>
      </c>
      <c r="G24" s="1" t="str">
        <f>_xlfn.XLOOKUP(D24,Products!A:A,Products!C:C,"MISSING")</f>
        <v>Electronics</v>
      </c>
      <c r="H24" s="1">
        <f>_xlfn.XLOOKUP(D24,Products!A:A,Products!D:D,"MISSING")</f>
        <v>20000</v>
      </c>
      <c r="I24" s="1" t="str">
        <f t="shared" si="0"/>
        <v>Aug</v>
      </c>
      <c r="J24" s="1">
        <f t="shared" si="1"/>
        <v>80000</v>
      </c>
      <c r="K24" s="1" t="str">
        <f>_xlfn.XLOOKUP(C24,Customers!A:A,Customers!B:B,"MISSING")</f>
        <v>Manav Arora</v>
      </c>
      <c r="L24" s="1" t="str">
        <f>_xlfn.XLOOKUP(D24,Products!A:A,Products!B:B,"MISSING")</f>
        <v>Mobile</v>
      </c>
    </row>
    <row r="25" spans="1:12">
      <c r="A25" s="1">
        <v>1024</v>
      </c>
      <c r="B25" s="1" t="s">
        <v>185</v>
      </c>
      <c r="C25" s="1" t="s">
        <v>107</v>
      </c>
      <c r="D25" s="1" t="s">
        <v>158</v>
      </c>
      <c r="E25" s="1">
        <v>2</v>
      </c>
      <c r="F25" s="1" t="str">
        <f>_xlfn.XLOOKUP(C25,Customers!A:A,Customers!C:C,"MISSING")</f>
        <v>Lucknow</v>
      </c>
      <c r="G25" s="1" t="str">
        <f>_xlfn.XLOOKUP(D25,Products!A:A,Products!C:C,"MISSING")</f>
        <v>Clothing</v>
      </c>
      <c r="H25" s="1">
        <f>_xlfn.XLOOKUP(D25,Products!A:A,Products!D:D,"MISSING")</f>
        <v>3500</v>
      </c>
      <c r="I25" s="1" t="str">
        <f t="shared" si="0"/>
        <v>Apr</v>
      </c>
      <c r="J25" s="1">
        <f t="shared" si="1"/>
        <v>7000</v>
      </c>
      <c r="K25" s="1" t="str">
        <f>_xlfn.XLOOKUP(C25,Customers!A:A,Customers!B:B,"MISSING")</f>
        <v>Priya Kapoor</v>
      </c>
      <c r="L25" s="1" t="str">
        <f>_xlfn.XLOOKUP(D25,Products!A:A,Products!B:B,"MISSING")</f>
        <v>Shoes</v>
      </c>
    </row>
    <row r="26" spans="1:12">
      <c r="A26" s="1">
        <v>1025</v>
      </c>
      <c r="B26" s="1" t="s">
        <v>186</v>
      </c>
      <c r="C26" s="1" t="s">
        <v>6</v>
      </c>
      <c r="D26" s="1" t="s">
        <v>147</v>
      </c>
      <c r="E26" s="1">
        <v>2</v>
      </c>
      <c r="F26" s="1" t="str">
        <f>_xlfn.XLOOKUP(C26,Customers!A:A,Customers!C:C,"MISSING")</f>
        <v>Pune</v>
      </c>
      <c r="G26" s="1" t="str">
        <f>_xlfn.XLOOKUP(D26,Products!A:A,Products!C:C,"MISSING")</f>
        <v>Furniture</v>
      </c>
      <c r="H26" s="1">
        <f>_xlfn.XLOOKUP(D26,Products!A:A,Products!D:D,"MISSING")</f>
        <v>7000</v>
      </c>
      <c r="I26" s="1" t="str">
        <f t="shared" si="0"/>
        <v>Jan</v>
      </c>
      <c r="J26" s="1">
        <f t="shared" si="1"/>
        <v>14000</v>
      </c>
      <c r="K26" s="1" t="str">
        <f>_xlfn.XLOOKUP(C26,Customers!A:A,Customers!B:B,"MISSING")</f>
        <v>Priya Kapoor</v>
      </c>
      <c r="L26" s="1" t="str">
        <f>_xlfn.XLOOKUP(D26,Products!A:A,Products!B:B,"MISSING")</f>
        <v>Table</v>
      </c>
    </row>
    <row r="27" spans="1:12">
      <c r="A27" s="1">
        <v>1026</v>
      </c>
      <c r="B27" s="1" t="s">
        <v>187</v>
      </c>
      <c r="C27" s="1" t="s">
        <v>75</v>
      </c>
      <c r="D27" s="1" t="s">
        <v>144</v>
      </c>
      <c r="E27" s="1">
        <v>1</v>
      </c>
      <c r="F27" s="1" t="str">
        <f>_xlfn.XLOOKUP(C27,Customers!A:A,Customers!C:C,"MISSING")</f>
        <v>Mumbai</v>
      </c>
      <c r="G27" s="1" t="str">
        <f>_xlfn.XLOOKUP(D27,Products!A:A,Products!C:C,"MISSING")</f>
        <v>Furniture</v>
      </c>
      <c r="H27" s="1">
        <f>_xlfn.XLOOKUP(D27,Products!A:A,Products!D:D,"MISSING")</f>
        <v>3000</v>
      </c>
      <c r="I27" s="1" t="str">
        <f t="shared" si="0"/>
        <v>Feb</v>
      </c>
      <c r="J27" s="1">
        <f t="shared" si="1"/>
        <v>3000</v>
      </c>
      <c r="K27" s="1" t="str">
        <f>_xlfn.XLOOKUP(C27,Customers!A:A,Customers!B:B,"MISSING")</f>
        <v>Sneha Iyer</v>
      </c>
      <c r="L27" s="1" t="str">
        <f>_xlfn.XLOOKUP(D27,Products!A:A,Products!B:B,"MISSING")</f>
        <v>Chair</v>
      </c>
    </row>
    <row r="28" spans="1:12">
      <c r="A28" s="1">
        <v>1027</v>
      </c>
      <c r="B28" s="1" t="s">
        <v>188</v>
      </c>
      <c r="C28" s="1" t="s">
        <v>72</v>
      </c>
      <c r="D28" s="1" t="s">
        <v>154</v>
      </c>
      <c r="E28" s="1">
        <v>1</v>
      </c>
      <c r="F28" s="1" t="str">
        <f>_xlfn.XLOOKUP(C28,Customers!A:A,Customers!C:C,"MISSING")</f>
        <v>Pune</v>
      </c>
      <c r="G28" s="1" t="str">
        <f>_xlfn.XLOOKUP(D28,Products!A:A,Products!C:C,"MISSING")</f>
        <v>Clothing</v>
      </c>
      <c r="H28" s="1">
        <f>_xlfn.XLOOKUP(D28,Products!A:A,Products!D:D,"MISSING")</f>
        <v>2500</v>
      </c>
      <c r="I28" s="1" t="str">
        <f t="shared" si="0"/>
        <v>Dec</v>
      </c>
      <c r="J28" s="1">
        <f t="shared" si="1"/>
        <v>2500</v>
      </c>
      <c r="K28" s="1" t="str">
        <f>_xlfn.XLOOKUP(C28,Customers!A:A,Customers!B:B,"MISSING")</f>
        <v>Nitin Joshi</v>
      </c>
      <c r="L28" s="1" t="str">
        <f>_xlfn.XLOOKUP(D28,Products!A:A,Products!B:B,"MISSING")</f>
        <v>Jeans</v>
      </c>
    </row>
    <row r="29" spans="1:12">
      <c r="A29" s="1">
        <v>1028</v>
      </c>
      <c r="B29" s="1" t="s">
        <v>189</v>
      </c>
      <c r="C29" s="1" t="s">
        <v>132</v>
      </c>
      <c r="D29" s="1" t="s">
        <v>140</v>
      </c>
      <c r="E29" s="1">
        <v>1</v>
      </c>
      <c r="F29" s="1" t="str">
        <f>_xlfn.XLOOKUP(C29,Customers!A:A,Customers!C:C,"MISSING")</f>
        <v>Jaipur</v>
      </c>
      <c r="G29" s="1" t="str">
        <f>_xlfn.XLOOKUP(D29,Products!A:A,Products!C:C,"MISSING")</f>
        <v>Electronics</v>
      </c>
      <c r="H29" s="1">
        <f>_xlfn.XLOOKUP(D29,Products!A:A,Products!D:D,"MISSING")</f>
        <v>20000</v>
      </c>
      <c r="I29" s="1" t="str">
        <f t="shared" si="0"/>
        <v>Oct</v>
      </c>
      <c r="J29" s="1">
        <f t="shared" si="1"/>
        <v>20000</v>
      </c>
      <c r="K29" s="1" t="str">
        <f>_xlfn.XLOOKUP(C29,Customers!A:A,Customers!B:B,"MISSING")</f>
        <v>Ravi Patel</v>
      </c>
      <c r="L29" s="1" t="str">
        <f>_xlfn.XLOOKUP(D29,Products!A:A,Products!B:B,"MISSING")</f>
        <v>Mobile</v>
      </c>
    </row>
    <row r="30" spans="1:12">
      <c r="A30" s="1">
        <v>1029</v>
      </c>
      <c r="B30" s="1" t="s">
        <v>190</v>
      </c>
      <c r="C30" s="1" t="s">
        <v>46</v>
      </c>
      <c r="D30" s="1" t="s">
        <v>158</v>
      </c>
      <c r="E30" s="1">
        <v>2</v>
      </c>
      <c r="F30" s="1" t="str">
        <f>_xlfn.XLOOKUP(C30,Customers!A:A,Customers!C:C,"MISSING")</f>
        <v>Bangalore</v>
      </c>
      <c r="G30" s="1" t="str">
        <f>_xlfn.XLOOKUP(D30,Products!A:A,Products!C:C,"MISSING")</f>
        <v>Clothing</v>
      </c>
      <c r="H30" s="1">
        <f>_xlfn.XLOOKUP(D30,Products!A:A,Products!D:D,"MISSING")</f>
        <v>3500</v>
      </c>
      <c r="I30" s="1" t="str">
        <f t="shared" si="0"/>
        <v>Jun</v>
      </c>
      <c r="J30" s="1">
        <f t="shared" si="1"/>
        <v>7000</v>
      </c>
      <c r="K30" s="1" t="str">
        <f>_xlfn.XLOOKUP(C30,Customers!A:A,Customers!B:B,"MISSING")</f>
        <v>Manav Arora</v>
      </c>
      <c r="L30" s="1" t="str">
        <f>_xlfn.XLOOKUP(D30,Products!A:A,Products!B:B,"MISSING")</f>
        <v>Shoes</v>
      </c>
    </row>
    <row r="31" spans="1:12">
      <c r="A31" s="1">
        <v>1030</v>
      </c>
      <c r="B31" s="1" t="s">
        <v>191</v>
      </c>
      <c r="C31" s="1" t="s">
        <v>85</v>
      </c>
      <c r="D31" s="1" t="s">
        <v>140</v>
      </c>
      <c r="E31" s="1">
        <v>5</v>
      </c>
      <c r="F31" s="1" t="str">
        <f>_xlfn.XLOOKUP(C31,Customers!A:A,Customers!C:C,"MISSING")</f>
        <v>Delhi</v>
      </c>
      <c r="G31" s="1" t="str">
        <f>_xlfn.XLOOKUP(D31,Products!A:A,Products!C:C,"MISSING")</f>
        <v>Electronics</v>
      </c>
      <c r="H31" s="1">
        <f>_xlfn.XLOOKUP(D31,Products!A:A,Products!D:D,"MISSING")</f>
        <v>20000</v>
      </c>
      <c r="I31" s="1" t="str">
        <f t="shared" si="0"/>
        <v>Jan</v>
      </c>
      <c r="J31" s="1">
        <f t="shared" si="1"/>
        <v>100000</v>
      </c>
      <c r="K31" s="1" t="str">
        <f>_xlfn.XLOOKUP(C31,Customers!A:A,Customers!B:B,"MISSING")</f>
        <v>Manav Arora</v>
      </c>
      <c r="L31" s="1" t="str">
        <f>_xlfn.XLOOKUP(D31,Products!A:A,Products!B:B,"MISSING")</f>
        <v>Mobile</v>
      </c>
    </row>
    <row r="32" spans="1:12">
      <c r="A32" s="1">
        <v>1031</v>
      </c>
      <c r="B32" s="1" t="s">
        <v>192</v>
      </c>
      <c r="C32" s="1" t="s">
        <v>67</v>
      </c>
      <c r="D32" s="1" t="s">
        <v>147</v>
      </c>
      <c r="E32" s="1">
        <v>1</v>
      </c>
      <c r="F32" s="1" t="str">
        <f>_xlfn.XLOOKUP(C32,Customers!A:A,Customers!C:C,"MISSING")</f>
        <v>Mumbai</v>
      </c>
      <c r="G32" s="1" t="str">
        <f>_xlfn.XLOOKUP(D32,Products!A:A,Products!C:C,"MISSING")</f>
        <v>Furniture</v>
      </c>
      <c r="H32" s="1">
        <f>_xlfn.XLOOKUP(D32,Products!A:A,Products!D:D,"MISSING")</f>
        <v>7000</v>
      </c>
      <c r="I32" s="1" t="str">
        <f t="shared" si="0"/>
        <v>Apr</v>
      </c>
      <c r="J32" s="1">
        <f t="shared" si="1"/>
        <v>7000</v>
      </c>
      <c r="K32" s="1" t="str">
        <f>_xlfn.XLOOKUP(C32,Customers!A:A,Customers!B:B,"MISSING")</f>
        <v>Nitin Joshi</v>
      </c>
      <c r="L32" s="1" t="str">
        <f>_xlfn.XLOOKUP(D32,Products!A:A,Products!B:B,"MISSING")</f>
        <v>Table</v>
      </c>
    </row>
    <row r="33" spans="1:12">
      <c r="A33" s="1">
        <v>1032</v>
      </c>
      <c r="B33" s="1" t="s">
        <v>193</v>
      </c>
      <c r="C33" s="1" t="s">
        <v>107</v>
      </c>
      <c r="D33" s="1" t="s">
        <v>149</v>
      </c>
      <c r="E33" s="1">
        <v>1</v>
      </c>
      <c r="F33" s="1" t="str">
        <f>_xlfn.XLOOKUP(C33,Customers!A:A,Customers!C:C,"MISSING")</f>
        <v>Lucknow</v>
      </c>
      <c r="G33" s="1" t="str">
        <f>_xlfn.XLOOKUP(D33,Products!A:A,Products!C:C,"MISSING")</f>
        <v>Furniture</v>
      </c>
      <c r="H33" s="1">
        <f>_xlfn.XLOOKUP(D33,Products!A:A,Products!D:D,"MISSING")</f>
        <v>25000</v>
      </c>
      <c r="I33" s="1" t="str">
        <f t="shared" si="0"/>
        <v>Apr</v>
      </c>
      <c r="J33" s="1">
        <f t="shared" si="1"/>
        <v>25000</v>
      </c>
      <c r="K33" s="1" t="str">
        <f>_xlfn.XLOOKUP(C33,Customers!A:A,Customers!B:B,"MISSING")</f>
        <v>Priya Kapoor</v>
      </c>
      <c r="L33" s="1" t="str">
        <f>_xlfn.XLOOKUP(D33,Products!A:A,Products!B:B,"MISSING")</f>
        <v>Sofa</v>
      </c>
    </row>
    <row r="34" spans="1:12">
      <c r="A34" s="1">
        <v>1033</v>
      </c>
      <c r="B34" s="1" t="s">
        <v>172</v>
      </c>
      <c r="C34" s="1" t="s">
        <v>34</v>
      </c>
      <c r="D34" s="1" t="s">
        <v>158</v>
      </c>
      <c r="E34" s="1">
        <v>5</v>
      </c>
      <c r="F34" s="1" t="str">
        <f>_xlfn.XLOOKUP(C34,Customers!A:A,Customers!C:C,"MISSING")</f>
        <v>Kolkata</v>
      </c>
      <c r="G34" s="1" t="str">
        <f>_xlfn.XLOOKUP(D34,Products!A:A,Products!C:C,"MISSING")</f>
        <v>Clothing</v>
      </c>
      <c r="H34" s="1">
        <f>_xlfn.XLOOKUP(D34,Products!A:A,Products!D:D,"MISSING")</f>
        <v>3500</v>
      </c>
      <c r="I34" s="1" t="str">
        <f t="shared" si="0"/>
        <v>Aug</v>
      </c>
      <c r="J34" s="1">
        <f t="shared" si="1"/>
        <v>17500</v>
      </c>
      <c r="K34" s="1" t="str">
        <f>_xlfn.XLOOKUP(C34,Customers!A:A,Customers!B:B,"MISSING")</f>
        <v>Manav Arora</v>
      </c>
      <c r="L34" s="1" t="str">
        <f>_xlfn.XLOOKUP(D34,Products!A:A,Products!B:B,"MISSING")</f>
        <v>Shoes</v>
      </c>
    </row>
    <row r="35" spans="1:12">
      <c r="A35" s="1">
        <v>1034</v>
      </c>
      <c r="B35" s="1" t="s">
        <v>194</v>
      </c>
      <c r="C35" s="1" t="s">
        <v>114</v>
      </c>
      <c r="D35" s="1" t="s">
        <v>142</v>
      </c>
      <c r="E35" s="1">
        <v>4</v>
      </c>
      <c r="F35" s="1" t="str">
        <f>_xlfn.XLOOKUP(C35,Customers!A:A,Customers!C:C,"MISSING")</f>
        <v>Mumbai</v>
      </c>
      <c r="G35" s="1" t="str">
        <f>_xlfn.XLOOKUP(D35,Products!A:A,Products!C:C,"MISSING")</f>
        <v>Electronics</v>
      </c>
      <c r="H35" s="1">
        <f>_xlfn.XLOOKUP(D35,Products!A:A,Products!D:D,"MISSING")</f>
        <v>15000</v>
      </c>
      <c r="I35" s="1" t="str">
        <f t="shared" si="0"/>
        <v>May</v>
      </c>
      <c r="J35" s="1">
        <f t="shared" si="1"/>
        <v>60000</v>
      </c>
      <c r="K35" s="1" t="str">
        <f>_xlfn.XLOOKUP(C35,Customers!A:A,Customers!B:B,"MISSING")</f>
        <v>Ishita Bose</v>
      </c>
      <c r="L35" s="1" t="str">
        <f>_xlfn.XLOOKUP(D35,Products!A:A,Products!B:B,"MISSING")</f>
        <v>Tablet</v>
      </c>
    </row>
    <row r="36" spans="1:12">
      <c r="A36" s="1">
        <v>1035</v>
      </c>
      <c r="B36" s="1" t="s">
        <v>195</v>
      </c>
      <c r="C36" s="1" t="s">
        <v>47</v>
      </c>
      <c r="D36" s="1" t="s">
        <v>149</v>
      </c>
      <c r="E36" s="1">
        <v>3</v>
      </c>
      <c r="F36" s="1" t="str">
        <f>_xlfn.XLOOKUP(C36,Customers!A:A,Customers!C:C,"MISSING")</f>
        <v>Mumbai</v>
      </c>
      <c r="G36" s="1" t="str">
        <f>_xlfn.XLOOKUP(D36,Products!A:A,Products!C:C,"MISSING")</f>
        <v>Furniture</v>
      </c>
      <c r="H36" s="1">
        <f>_xlfn.XLOOKUP(D36,Products!A:A,Products!D:D,"MISSING")</f>
        <v>25000</v>
      </c>
      <c r="I36" s="1" t="str">
        <f t="shared" si="0"/>
        <v>Mar</v>
      </c>
      <c r="J36" s="1">
        <f t="shared" si="1"/>
        <v>75000</v>
      </c>
      <c r="K36" s="1" t="str">
        <f>_xlfn.XLOOKUP(C36,Customers!A:A,Customers!B:B,"MISSING")</f>
        <v>Amit Verma</v>
      </c>
      <c r="L36" s="1" t="str">
        <f>_xlfn.XLOOKUP(D36,Products!A:A,Products!B:B,"MISSING")</f>
        <v>Sofa</v>
      </c>
    </row>
    <row r="37" spans="1:12">
      <c r="A37" s="1">
        <v>1036</v>
      </c>
      <c r="B37" s="1" t="s">
        <v>196</v>
      </c>
      <c r="C37" s="1" t="s">
        <v>44</v>
      </c>
      <c r="D37" s="1" t="s">
        <v>149</v>
      </c>
      <c r="E37" s="1">
        <v>3</v>
      </c>
      <c r="F37" s="1" t="str">
        <f>_xlfn.XLOOKUP(C37,Customers!A:A,Customers!C:C,"MISSING")</f>
        <v>Lucknow</v>
      </c>
      <c r="G37" s="1" t="str">
        <f>_xlfn.XLOOKUP(D37,Products!A:A,Products!C:C,"MISSING")</f>
        <v>Furniture</v>
      </c>
      <c r="H37" s="1">
        <f>_xlfn.XLOOKUP(D37,Products!A:A,Products!D:D,"MISSING")</f>
        <v>25000</v>
      </c>
      <c r="I37" s="1" t="str">
        <f t="shared" si="0"/>
        <v>Jun</v>
      </c>
      <c r="J37" s="1">
        <f t="shared" si="1"/>
        <v>75000</v>
      </c>
      <c r="K37" s="1" t="str">
        <f>_xlfn.XLOOKUP(C37,Customers!A:A,Customers!B:B,"MISSING")</f>
        <v>Nitin Joshi</v>
      </c>
      <c r="L37" s="1" t="str">
        <f>_xlfn.XLOOKUP(D37,Products!A:A,Products!B:B,"MISSING")</f>
        <v>Sofa</v>
      </c>
    </row>
    <row r="38" spans="1:12">
      <c r="A38" s="1">
        <v>1037</v>
      </c>
      <c r="B38" s="1" t="s">
        <v>197</v>
      </c>
      <c r="C38" s="1" t="s">
        <v>26</v>
      </c>
      <c r="D38" s="1" t="s">
        <v>151</v>
      </c>
      <c r="E38" s="1">
        <v>3</v>
      </c>
      <c r="F38" s="1" t="str">
        <f>_xlfn.XLOOKUP(C38,Customers!A:A,Customers!C:C,"MISSING")</f>
        <v>Ahmedabad</v>
      </c>
      <c r="G38" s="1" t="str">
        <f>_xlfn.XLOOKUP(D38,Products!A:A,Products!C:C,"MISSING")</f>
        <v>Clothing</v>
      </c>
      <c r="H38" s="1">
        <f>_xlfn.XLOOKUP(D38,Products!A:A,Products!D:D,"MISSING")</f>
        <v>1500</v>
      </c>
      <c r="I38" s="1" t="str">
        <f t="shared" si="0"/>
        <v>Sep</v>
      </c>
      <c r="J38" s="1">
        <f t="shared" si="1"/>
        <v>4500</v>
      </c>
      <c r="K38" s="1" t="str">
        <f>_xlfn.XLOOKUP(C38,Customers!A:A,Customers!B:B,"MISSING")</f>
        <v>Arjun Malhotra</v>
      </c>
      <c r="L38" s="1" t="str">
        <f>_xlfn.XLOOKUP(D38,Products!A:A,Products!B:B,"MISSING")</f>
        <v>T-Shirt</v>
      </c>
    </row>
    <row r="39" spans="1:12">
      <c r="A39" s="1">
        <v>1038</v>
      </c>
      <c r="B39" s="1" t="s">
        <v>198</v>
      </c>
      <c r="C39" s="1" t="s">
        <v>16</v>
      </c>
      <c r="D39" s="1" t="s">
        <v>156</v>
      </c>
      <c r="E39" s="1">
        <v>3</v>
      </c>
      <c r="F39" s="1" t="str">
        <f>_xlfn.XLOOKUP(C39,Customers!A:A,Customers!C:C,"MISSING")</f>
        <v>Hyderabad</v>
      </c>
      <c r="G39" s="1" t="str">
        <f>_xlfn.XLOOKUP(D39,Products!A:A,Products!C:C,"MISSING")</f>
        <v>Clothing</v>
      </c>
      <c r="H39" s="1">
        <f>_xlfn.XLOOKUP(D39,Products!A:A,Products!D:D,"MISSING")</f>
        <v>1800</v>
      </c>
      <c r="I39" s="1" t="str">
        <f t="shared" si="0"/>
        <v>Mar</v>
      </c>
      <c r="J39" s="1">
        <f t="shared" si="1"/>
        <v>5400</v>
      </c>
      <c r="K39" s="1" t="str">
        <f>_xlfn.XLOOKUP(C39,Customers!A:A,Customers!B:B,"MISSING")</f>
        <v>Rahul Sharma</v>
      </c>
      <c r="L39" s="1" t="str">
        <f>_xlfn.XLOOKUP(D39,Products!A:A,Products!B:B,"MISSING")</f>
        <v>Shirt</v>
      </c>
    </row>
    <row r="40" spans="1:12">
      <c r="A40" s="1">
        <v>1039</v>
      </c>
      <c r="B40" s="1" t="s">
        <v>199</v>
      </c>
      <c r="C40" s="1" t="s">
        <v>56</v>
      </c>
      <c r="D40" s="1" t="s">
        <v>156</v>
      </c>
      <c r="E40" s="1">
        <v>2</v>
      </c>
      <c r="F40" s="1" t="str">
        <f>_xlfn.XLOOKUP(C40,Customers!A:A,Customers!C:C,"MISSING")</f>
        <v>Bangalore</v>
      </c>
      <c r="G40" s="1" t="str">
        <f>_xlfn.XLOOKUP(D40,Products!A:A,Products!C:C,"MISSING")</f>
        <v>Clothing</v>
      </c>
      <c r="H40" s="1">
        <f>_xlfn.XLOOKUP(D40,Products!A:A,Products!D:D,"MISSING")</f>
        <v>1800</v>
      </c>
      <c r="I40" s="1" t="str">
        <f t="shared" si="0"/>
        <v>Feb</v>
      </c>
      <c r="J40" s="1">
        <f t="shared" si="1"/>
        <v>3600</v>
      </c>
      <c r="K40" s="1" t="str">
        <f>_xlfn.XLOOKUP(C40,Customers!A:A,Customers!B:B,"MISSING")</f>
        <v>Karan Mehta</v>
      </c>
      <c r="L40" s="1" t="str">
        <f>_xlfn.XLOOKUP(D40,Products!A:A,Products!B:B,"MISSING")</f>
        <v>Shirt</v>
      </c>
    </row>
    <row r="41" spans="1:12">
      <c r="A41" s="1">
        <v>1040</v>
      </c>
      <c r="B41" s="1" t="s">
        <v>193</v>
      </c>
      <c r="C41" s="1" t="s">
        <v>128</v>
      </c>
      <c r="D41" s="1" t="s">
        <v>149</v>
      </c>
      <c r="E41" s="1">
        <v>3</v>
      </c>
      <c r="F41" s="1" t="str">
        <f>_xlfn.XLOOKUP(C41,Customers!A:A,Customers!C:C,"MISSING")</f>
        <v>Delhi</v>
      </c>
      <c r="G41" s="1" t="str">
        <f>_xlfn.XLOOKUP(D41,Products!A:A,Products!C:C,"MISSING")</f>
        <v>Furniture</v>
      </c>
      <c r="H41" s="1">
        <f>_xlfn.XLOOKUP(D41,Products!A:A,Products!D:D,"MISSING")</f>
        <v>25000</v>
      </c>
      <c r="I41" s="1" t="str">
        <f t="shared" si="0"/>
        <v>Apr</v>
      </c>
      <c r="J41" s="1">
        <f t="shared" si="1"/>
        <v>75000</v>
      </c>
      <c r="K41" s="1" t="str">
        <f>_xlfn.XLOOKUP(C41,Customers!A:A,Customers!B:B,"MISSING")</f>
        <v>Neha Singh</v>
      </c>
      <c r="L41" s="1" t="str">
        <f>_xlfn.XLOOKUP(D41,Products!A:A,Products!B:B,"MISSING")</f>
        <v>Sofa</v>
      </c>
    </row>
    <row r="42" spans="1:12">
      <c r="A42" s="1">
        <v>1041</v>
      </c>
      <c r="B42" s="1" t="s">
        <v>176</v>
      </c>
      <c r="C42" s="1" t="s">
        <v>92</v>
      </c>
      <c r="D42" s="1" t="s">
        <v>137</v>
      </c>
      <c r="E42" s="1">
        <v>1</v>
      </c>
      <c r="F42" s="1" t="str">
        <f>_xlfn.XLOOKUP(C42,Customers!A:A,Customers!C:C,"MISSING")</f>
        <v>Lucknow</v>
      </c>
      <c r="G42" s="1" t="str">
        <f>_xlfn.XLOOKUP(D42,Products!A:A,Products!C:C,"MISSING")</f>
        <v>Electronics</v>
      </c>
      <c r="H42" s="1">
        <f>_xlfn.XLOOKUP(D42,Products!A:A,Products!D:D,"MISSING")</f>
        <v>50000</v>
      </c>
      <c r="I42" s="1" t="str">
        <f t="shared" si="0"/>
        <v>May</v>
      </c>
      <c r="J42" s="1">
        <f t="shared" si="1"/>
        <v>50000</v>
      </c>
      <c r="K42" s="1" t="str">
        <f>_xlfn.XLOOKUP(C42,Customers!A:A,Customers!B:B,"MISSING")</f>
        <v>Rohit Sen</v>
      </c>
      <c r="L42" s="1" t="str">
        <f>_xlfn.XLOOKUP(D42,Products!A:A,Products!B:B,"MISSING")</f>
        <v>Laptop</v>
      </c>
    </row>
    <row r="43" spans="1:12">
      <c r="A43" s="1">
        <v>1042</v>
      </c>
      <c r="B43" s="1" t="s">
        <v>200</v>
      </c>
      <c r="C43" s="1" t="s">
        <v>78</v>
      </c>
      <c r="D43" s="1" t="s">
        <v>144</v>
      </c>
      <c r="E43" s="1">
        <v>1</v>
      </c>
      <c r="F43" s="1" t="str">
        <f>_xlfn.XLOOKUP(C43,Customers!A:A,Customers!C:C,"MISSING")</f>
        <v>Ahmedabad</v>
      </c>
      <c r="G43" s="1" t="str">
        <f>_xlfn.XLOOKUP(D43,Products!A:A,Products!C:C,"MISSING")</f>
        <v>Furniture</v>
      </c>
      <c r="H43" s="1">
        <f>_xlfn.XLOOKUP(D43,Products!A:A,Products!D:D,"MISSING")</f>
        <v>3000</v>
      </c>
      <c r="I43" s="1" t="str">
        <f t="shared" si="0"/>
        <v>Mar</v>
      </c>
      <c r="J43" s="1">
        <f t="shared" si="1"/>
        <v>3000</v>
      </c>
      <c r="K43" s="1" t="str">
        <f>_xlfn.XLOOKUP(C43,Customers!A:A,Customers!B:B,"MISSING")</f>
        <v>Priya Kapoor</v>
      </c>
      <c r="L43" s="1" t="str">
        <f>_xlfn.XLOOKUP(D43,Products!A:A,Products!B:B,"MISSING")</f>
        <v>Chair</v>
      </c>
    </row>
    <row r="44" spans="1:12">
      <c r="A44" s="1">
        <v>1043</v>
      </c>
      <c r="B44" s="1" t="s">
        <v>201</v>
      </c>
      <c r="C44" s="1" t="s">
        <v>67</v>
      </c>
      <c r="D44" s="1" t="s">
        <v>154</v>
      </c>
      <c r="E44" s="1">
        <v>2</v>
      </c>
      <c r="F44" s="1" t="str">
        <f>_xlfn.XLOOKUP(C44,Customers!A:A,Customers!C:C,"MISSING")</f>
        <v>Mumbai</v>
      </c>
      <c r="G44" s="1" t="str">
        <f>_xlfn.XLOOKUP(D44,Products!A:A,Products!C:C,"MISSING")</f>
        <v>Clothing</v>
      </c>
      <c r="H44" s="1">
        <f>_xlfn.XLOOKUP(D44,Products!A:A,Products!D:D,"MISSING")</f>
        <v>2500</v>
      </c>
      <c r="I44" s="1" t="str">
        <f t="shared" si="0"/>
        <v>Jul</v>
      </c>
      <c r="J44" s="1">
        <f t="shared" si="1"/>
        <v>5000</v>
      </c>
      <c r="K44" s="1" t="str">
        <f>_xlfn.XLOOKUP(C44,Customers!A:A,Customers!B:B,"MISSING")</f>
        <v>Nitin Joshi</v>
      </c>
      <c r="L44" s="1" t="str">
        <f>_xlfn.XLOOKUP(D44,Products!A:A,Products!B:B,"MISSING")</f>
        <v>Jeans</v>
      </c>
    </row>
    <row r="45" spans="1:12">
      <c r="A45" s="1">
        <v>1044</v>
      </c>
      <c r="B45" s="1" t="s">
        <v>202</v>
      </c>
      <c r="C45" s="1" t="s">
        <v>102</v>
      </c>
      <c r="D45" s="1" t="s">
        <v>140</v>
      </c>
      <c r="E45" s="1">
        <v>1</v>
      </c>
      <c r="F45" s="1" t="str">
        <f>_xlfn.XLOOKUP(C45,Customers!A:A,Customers!C:C,"MISSING")</f>
        <v>Lucknow</v>
      </c>
      <c r="G45" s="1" t="str">
        <f>_xlfn.XLOOKUP(D45,Products!A:A,Products!C:C,"MISSING")</f>
        <v>Electronics</v>
      </c>
      <c r="H45" s="1">
        <f>_xlfn.XLOOKUP(D45,Products!A:A,Products!D:D,"MISSING")</f>
        <v>20000</v>
      </c>
      <c r="I45" s="1" t="str">
        <f t="shared" si="0"/>
        <v>Jul</v>
      </c>
      <c r="J45" s="1">
        <f t="shared" si="1"/>
        <v>20000</v>
      </c>
      <c r="K45" s="1" t="str">
        <f>_xlfn.XLOOKUP(C45,Customers!A:A,Customers!B:B,"MISSING")</f>
        <v>Manav Arora</v>
      </c>
      <c r="L45" s="1" t="str">
        <f>_xlfn.XLOOKUP(D45,Products!A:A,Products!B:B,"MISSING")</f>
        <v>Mobile</v>
      </c>
    </row>
    <row r="46" spans="1:12">
      <c r="A46" s="1">
        <v>1045</v>
      </c>
      <c r="B46" s="1" t="s">
        <v>203</v>
      </c>
      <c r="C46" s="1" t="s">
        <v>89</v>
      </c>
      <c r="D46" s="1" t="s">
        <v>144</v>
      </c>
      <c r="E46" s="1">
        <v>5</v>
      </c>
      <c r="F46" s="1" t="str">
        <f>_xlfn.XLOOKUP(C46,Customers!A:A,Customers!C:C,"MISSING")</f>
        <v>Bangalore</v>
      </c>
      <c r="G46" s="1" t="str">
        <f>_xlfn.XLOOKUP(D46,Products!A:A,Products!C:C,"MISSING")</f>
        <v>Furniture</v>
      </c>
      <c r="H46" s="1">
        <f>_xlfn.XLOOKUP(D46,Products!A:A,Products!D:D,"MISSING")</f>
        <v>3000</v>
      </c>
      <c r="I46" s="1" t="str">
        <f t="shared" si="0"/>
        <v>Jun</v>
      </c>
      <c r="J46" s="1">
        <f t="shared" si="1"/>
        <v>15000</v>
      </c>
      <c r="K46" s="1" t="str">
        <f>_xlfn.XLOOKUP(C46,Customers!A:A,Customers!B:B,"MISSING")</f>
        <v>Priya Kapoor</v>
      </c>
      <c r="L46" s="1" t="str">
        <f>_xlfn.XLOOKUP(D46,Products!A:A,Products!B:B,"MISSING")</f>
        <v>Chair</v>
      </c>
    </row>
    <row r="47" spans="1:12">
      <c r="A47" s="1">
        <v>1046</v>
      </c>
      <c r="B47" s="1" t="s">
        <v>204</v>
      </c>
      <c r="C47" s="1" t="s">
        <v>104</v>
      </c>
      <c r="D47" s="1" t="s">
        <v>142</v>
      </c>
      <c r="E47" s="1">
        <v>1</v>
      </c>
      <c r="F47" s="1" t="str">
        <f>_xlfn.XLOOKUP(C47,Customers!A:A,Customers!C:C,"MISSING")</f>
        <v>Ahmedabad</v>
      </c>
      <c r="G47" s="1" t="str">
        <f>_xlfn.XLOOKUP(D47,Products!A:A,Products!C:C,"MISSING")</f>
        <v>Electronics</v>
      </c>
      <c r="H47" s="1">
        <f>_xlfn.XLOOKUP(D47,Products!A:A,Products!D:D,"MISSING")</f>
        <v>15000</v>
      </c>
      <c r="I47" s="1" t="str">
        <f t="shared" si="0"/>
        <v>Nov</v>
      </c>
      <c r="J47" s="1">
        <f t="shared" si="1"/>
        <v>15000</v>
      </c>
      <c r="K47" s="1" t="str">
        <f>_xlfn.XLOOKUP(C47,Customers!A:A,Customers!B:B,"MISSING")</f>
        <v>Amit Verma</v>
      </c>
      <c r="L47" s="1" t="str">
        <f>_xlfn.XLOOKUP(D47,Products!A:A,Products!B:B,"MISSING")</f>
        <v>Tablet</v>
      </c>
    </row>
    <row r="48" spans="1:12">
      <c r="A48" s="1">
        <v>1047</v>
      </c>
      <c r="B48" s="1" t="s">
        <v>205</v>
      </c>
      <c r="C48" s="1" t="s">
        <v>117</v>
      </c>
      <c r="D48" s="1" t="s">
        <v>147</v>
      </c>
      <c r="E48" s="1">
        <v>3</v>
      </c>
      <c r="F48" s="1" t="str">
        <f>_xlfn.XLOOKUP(C48,Customers!A:A,Customers!C:C,"MISSING")</f>
        <v>Kolkata</v>
      </c>
      <c r="G48" s="1" t="str">
        <f>_xlfn.XLOOKUP(D48,Products!A:A,Products!C:C,"MISSING")</f>
        <v>Furniture</v>
      </c>
      <c r="H48" s="1">
        <f>_xlfn.XLOOKUP(D48,Products!A:A,Products!D:D,"MISSING")</f>
        <v>7000</v>
      </c>
      <c r="I48" s="1" t="str">
        <f t="shared" si="0"/>
        <v>Aug</v>
      </c>
      <c r="J48" s="1">
        <f t="shared" si="1"/>
        <v>21000</v>
      </c>
      <c r="K48" s="1" t="str">
        <f>_xlfn.XLOOKUP(C48,Customers!A:A,Customers!B:B,"MISSING")</f>
        <v>Tanya Sethi</v>
      </c>
      <c r="L48" s="1" t="str">
        <f>_xlfn.XLOOKUP(D48,Products!A:A,Products!B:B,"MISSING")</f>
        <v>Table</v>
      </c>
    </row>
    <row r="49" spans="1:12">
      <c r="A49" s="1">
        <v>1048</v>
      </c>
      <c r="B49" s="1" t="s">
        <v>206</v>
      </c>
      <c r="C49" s="1" t="s">
        <v>44</v>
      </c>
      <c r="D49" s="1" t="s">
        <v>149</v>
      </c>
      <c r="E49" s="1">
        <v>2</v>
      </c>
      <c r="F49" s="1" t="str">
        <f>_xlfn.XLOOKUP(C49,Customers!A:A,Customers!C:C,"MISSING")</f>
        <v>Lucknow</v>
      </c>
      <c r="G49" s="1" t="str">
        <f>_xlfn.XLOOKUP(D49,Products!A:A,Products!C:C,"MISSING")</f>
        <v>Furniture</v>
      </c>
      <c r="H49" s="1">
        <f>_xlfn.XLOOKUP(D49,Products!A:A,Products!D:D,"MISSING")</f>
        <v>25000</v>
      </c>
      <c r="I49" s="1" t="str">
        <f t="shared" si="0"/>
        <v>Jun</v>
      </c>
      <c r="J49" s="1">
        <f t="shared" si="1"/>
        <v>50000</v>
      </c>
      <c r="K49" s="1" t="str">
        <f>_xlfn.XLOOKUP(C49,Customers!A:A,Customers!B:B,"MISSING")</f>
        <v>Nitin Joshi</v>
      </c>
      <c r="L49" s="1" t="str">
        <f>_xlfn.XLOOKUP(D49,Products!A:A,Products!B:B,"MISSING")</f>
        <v>Sofa</v>
      </c>
    </row>
    <row r="50" spans="1:12">
      <c r="A50" s="1">
        <v>1049</v>
      </c>
      <c r="B50" s="1" t="s">
        <v>190</v>
      </c>
      <c r="C50" s="1" t="s">
        <v>23</v>
      </c>
      <c r="D50" s="1" t="s">
        <v>156</v>
      </c>
      <c r="E50" s="1">
        <v>5</v>
      </c>
      <c r="F50" s="1" t="str">
        <f>_xlfn.XLOOKUP(C50,Customers!A:A,Customers!C:C,"MISSING")</f>
        <v>Kolkata</v>
      </c>
      <c r="G50" s="1" t="str">
        <f>_xlfn.XLOOKUP(D50,Products!A:A,Products!C:C,"MISSING")</f>
        <v>Clothing</v>
      </c>
      <c r="H50" s="1">
        <f>_xlfn.XLOOKUP(D50,Products!A:A,Products!D:D,"MISSING")</f>
        <v>1800</v>
      </c>
      <c r="I50" s="1" t="str">
        <f t="shared" si="0"/>
        <v>Jun</v>
      </c>
      <c r="J50" s="1">
        <f t="shared" si="1"/>
        <v>9000</v>
      </c>
      <c r="K50" s="1" t="str">
        <f>_xlfn.XLOOKUP(C50,Customers!A:A,Customers!B:B,"MISSING")</f>
        <v>Tanya Sethi</v>
      </c>
      <c r="L50" s="1" t="str">
        <f>_xlfn.XLOOKUP(D50,Products!A:A,Products!B:B,"MISSING")</f>
        <v>Shirt</v>
      </c>
    </row>
    <row r="51" spans="1:12">
      <c r="A51" s="1">
        <v>1050</v>
      </c>
      <c r="B51" s="1" t="s">
        <v>207</v>
      </c>
      <c r="C51" s="1" t="s">
        <v>66</v>
      </c>
      <c r="D51" s="1" t="s">
        <v>156</v>
      </c>
      <c r="E51" s="1">
        <v>2</v>
      </c>
      <c r="F51" s="1" t="str">
        <f>_xlfn.XLOOKUP(C51,Customers!A:A,Customers!C:C,"MISSING")</f>
        <v>Ahmedabad</v>
      </c>
      <c r="G51" s="1" t="str">
        <f>_xlfn.XLOOKUP(D51,Products!A:A,Products!C:C,"MISSING")</f>
        <v>Clothing</v>
      </c>
      <c r="H51" s="1">
        <f>_xlfn.XLOOKUP(D51,Products!A:A,Products!D:D,"MISSING")</f>
        <v>1800</v>
      </c>
      <c r="I51" s="1" t="str">
        <f t="shared" si="0"/>
        <v>Jul</v>
      </c>
      <c r="J51" s="1">
        <f t="shared" si="1"/>
        <v>3600</v>
      </c>
      <c r="K51" s="1" t="str">
        <f>_xlfn.XLOOKUP(C51,Customers!A:A,Customers!B:B,"MISSING")</f>
        <v>Sejal Shah</v>
      </c>
      <c r="L51" s="1" t="str">
        <f>_xlfn.XLOOKUP(D51,Products!A:A,Products!B:B,"MISSING")</f>
        <v>Shirt</v>
      </c>
    </row>
    <row r="52" spans="1:12">
      <c r="A52" s="1">
        <v>1051</v>
      </c>
      <c r="B52" s="1" t="s">
        <v>208</v>
      </c>
      <c r="C52" s="1" t="s">
        <v>29</v>
      </c>
      <c r="D52" s="1" t="s">
        <v>144</v>
      </c>
      <c r="E52" s="1">
        <v>2</v>
      </c>
      <c r="F52" s="1" t="str">
        <f>_xlfn.XLOOKUP(C52,Customers!A:A,Customers!C:C,"MISSING")</f>
        <v>Chennai</v>
      </c>
      <c r="G52" s="1" t="str">
        <f>_xlfn.XLOOKUP(D52,Products!A:A,Products!C:C,"MISSING")</f>
        <v>Furniture</v>
      </c>
      <c r="H52" s="1">
        <f>_xlfn.XLOOKUP(D52,Products!A:A,Products!D:D,"MISSING")</f>
        <v>3000</v>
      </c>
      <c r="I52" s="1" t="str">
        <f t="shared" si="0"/>
        <v>Jun</v>
      </c>
      <c r="J52" s="1">
        <f t="shared" si="1"/>
        <v>6000</v>
      </c>
      <c r="K52" s="1" t="str">
        <f>_xlfn.XLOOKUP(C52,Customers!A:A,Customers!B:B,"MISSING")</f>
        <v>Sejal Shah</v>
      </c>
      <c r="L52" s="1" t="str">
        <f>_xlfn.XLOOKUP(D52,Products!A:A,Products!B:B,"MISSING")</f>
        <v>Chair</v>
      </c>
    </row>
    <row r="53" spans="1:12">
      <c r="A53" s="1">
        <v>1052</v>
      </c>
      <c r="B53" s="1" t="s">
        <v>209</v>
      </c>
      <c r="C53" s="1" t="s">
        <v>54</v>
      </c>
      <c r="D53" s="1" t="s">
        <v>140</v>
      </c>
      <c r="E53" s="1">
        <v>3</v>
      </c>
      <c r="F53" s="1" t="str">
        <f>_xlfn.XLOOKUP(C53,Customers!A:A,Customers!C:C,"MISSING")</f>
        <v>Chennai</v>
      </c>
      <c r="G53" s="1" t="str">
        <f>_xlfn.XLOOKUP(D53,Products!A:A,Products!C:C,"MISSING")</f>
        <v>Electronics</v>
      </c>
      <c r="H53" s="1">
        <f>_xlfn.XLOOKUP(D53,Products!A:A,Products!D:D,"MISSING")</f>
        <v>20000</v>
      </c>
      <c r="I53" s="1" t="str">
        <f t="shared" si="0"/>
        <v>Mar</v>
      </c>
      <c r="J53" s="1">
        <f t="shared" si="1"/>
        <v>60000</v>
      </c>
      <c r="K53" s="1" t="str">
        <f>_xlfn.XLOOKUP(C53,Customers!A:A,Customers!B:B,"MISSING")</f>
        <v>Ravi Patel</v>
      </c>
      <c r="L53" s="1" t="str">
        <f>_xlfn.XLOOKUP(D53,Products!A:A,Products!B:B,"MISSING")</f>
        <v>Mobile</v>
      </c>
    </row>
    <row r="54" spans="1:12">
      <c r="A54" s="1">
        <v>1053</v>
      </c>
      <c r="B54" s="1" t="s">
        <v>210</v>
      </c>
      <c r="C54" s="1" t="s">
        <v>62</v>
      </c>
      <c r="D54" s="1" t="s">
        <v>154</v>
      </c>
      <c r="E54" s="1">
        <v>2</v>
      </c>
      <c r="F54" s="1" t="str">
        <f>_xlfn.XLOOKUP(C54,Customers!A:A,Customers!C:C,"MISSING")</f>
        <v>Delhi</v>
      </c>
      <c r="G54" s="1" t="str">
        <f>_xlfn.XLOOKUP(D54,Products!A:A,Products!C:C,"MISSING")</f>
        <v>Clothing</v>
      </c>
      <c r="H54" s="1">
        <f>_xlfn.XLOOKUP(D54,Products!A:A,Products!D:D,"MISSING")</f>
        <v>2500</v>
      </c>
      <c r="I54" s="1" t="str">
        <f t="shared" si="0"/>
        <v>Mar</v>
      </c>
      <c r="J54" s="1">
        <f t="shared" si="1"/>
        <v>5000</v>
      </c>
      <c r="K54" s="1" t="str">
        <f>_xlfn.XLOOKUP(C54,Customers!A:A,Customers!B:B,"MISSING")</f>
        <v>Ravi Patel</v>
      </c>
      <c r="L54" s="1" t="str">
        <f>_xlfn.XLOOKUP(D54,Products!A:A,Products!B:B,"MISSING")</f>
        <v>Jeans</v>
      </c>
    </row>
    <row r="55" spans="1:12">
      <c r="A55" s="1">
        <v>1054</v>
      </c>
      <c r="B55" s="1" t="s">
        <v>210</v>
      </c>
      <c r="C55" s="1" t="s">
        <v>89</v>
      </c>
      <c r="D55" s="1" t="s">
        <v>137</v>
      </c>
      <c r="E55" s="1">
        <v>1</v>
      </c>
      <c r="F55" s="1" t="str">
        <f>_xlfn.XLOOKUP(C55,Customers!A:A,Customers!C:C,"MISSING")</f>
        <v>Bangalore</v>
      </c>
      <c r="G55" s="1" t="str">
        <f>_xlfn.XLOOKUP(D55,Products!A:A,Products!C:C,"MISSING")</f>
        <v>Electronics</v>
      </c>
      <c r="H55" s="1">
        <f>_xlfn.XLOOKUP(D55,Products!A:A,Products!D:D,"MISSING")</f>
        <v>50000</v>
      </c>
      <c r="I55" s="1" t="str">
        <f t="shared" si="0"/>
        <v>Mar</v>
      </c>
      <c r="J55" s="1">
        <f t="shared" si="1"/>
        <v>50000</v>
      </c>
      <c r="K55" s="1" t="str">
        <f>_xlfn.XLOOKUP(C55,Customers!A:A,Customers!B:B,"MISSING")</f>
        <v>Priya Kapoor</v>
      </c>
      <c r="L55" s="1" t="str">
        <f>_xlfn.XLOOKUP(D55,Products!A:A,Products!B:B,"MISSING")</f>
        <v>Laptop</v>
      </c>
    </row>
    <row r="56" spans="1:12">
      <c r="A56" s="1">
        <v>1055</v>
      </c>
      <c r="B56" s="1" t="s">
        <v>211</v>
      </c>
      <c r="C56" s="1" t="s">
        <v>128</v>
      </c>
      <c r="D56" s="1" t="s">
        <v>149</v>
      </c>
      <c r="E56" s="1">
        <v>5</v>
      </c>
      <c r="F56" s="1" t="str">
        <f>_xlfn.XLOOKUP(C56,Customers!A:A,Customers!C:C,"MISSING")</f>
        <v>Delhi</v>
      </c>
      <c r="G56" s="1" t="str">
        <f>_xlfn.XLOOKUP(D56,Products!A:A,Products!C:C,"MISSING")</f>
        <v>Furniture</v>
      </c>
      <c r="H56" s="1">
        <f>_xlfn.XLOOKUP(D56,Products!A:A,Products!D:D,"MISSING")</f>
        <v>25000</v>
      </c>
      <c r="I56" s="1" t="str">
        <f t="shared" si="0"/>
        <v>Jul</v>
      </c>
      <c r="J56" s="1">
        <f t="shared" si="1"/>
        <v>125000</v>
      </c>
      <c r="K56" s="1" t="str">
        <f>_xlfn.XLOOKUP(C56,Customers!A:A,Customers!B:B,"MISSING")</f>
        <v>Neha Singh</v>
      </c>
      <c r="L56" s="1" t="str">
        <f>_xlfn.XLOOKUP(D56,Products!A:A,Products!B:B,"MISSING")</f>
        <v>Sofa</v>
      </c>
    </row>
    <row r="57" spans="1:12">
      <c r="A57" s="1">
        <v>1056</v>
      </c>
      <c r="B57" s="1" t="s">
        <v>212</v>
      </c>
      <c r="C57" s="1" t="s">
        <v>110</v>
      </c>
      <c r="D57" s="1" t="s">
        <v>137</v>
      </c>
      <c r="E57" s="1">
        <v>3</v>
      </c>
      <c r="F57" s="1" t="str">
        <f>_xlfn.XLOOKUP(C57,Customers!A:A,Customers!C:C,"MISSING")</f>
        <v>Delhi</v>
      </c>
      <c r="G57" s="1" t="str">
        <f>_xlfn.XLOOKUP(D57,Products!A:A,Products!C:C,"MISSING")</f>
        <v>Electronics</v>
      </c>
      <c r="H57" s="1">
        <f>_xlfn.XLOOKUP(D57,Products!A:A,Products!D:D,"MISSING")</f>
        <v>50000</v>
      </c>
      <c r="I57" s="1" t="str">
        <f t="shared" si="0"/>
        <v>Jul</v>
      </c>
      <c r="J57" s="1">
        <f t="shared" si="1"/>
        <v>150000</v>
      </c>
      <c r="K57" s="1" t="str">
        <f>_xlfn.XLOOKUP(C57,Customers!A:A,Customers!B:B,"MISSING")</f>
        <v>Meera Kulkarni</v>
      </c>
      <c r="L57" s="1" t="str">
        <f>_xlfn.XLOOKUP(D57,Products!A:A,Products!B:B,"MISSING")</f>
        <v>Laptop</v>
      </c>
    </row>
    <row r="58" spans="1:12">
      <c r="A58" s="1">
        <v>1057</v>
      </c>
      <c r="B58" s="1" t="s">
        <v>213</v>
      </c>
      <c r="C58" s="1" t="s">
        <v>119</v>
      </c>
      <c r="D58" s="1" t="s">
        <v>140</v>
      </c>
      <c r="E58" s="1">
        <v>5</v>
      </c>
      <c r="F58" s="1" t="str">
        <f>_xlfn.XLOOKUP(C58,Customers!A:A,Customers!C:C,"MISSING")</f>
        <v>Delhi</v>
      </c>
      <c r="G58" s="1" t="str">
        <f>_xlfn.XLOOKUP(D58,Products!A:A,Products!C:C,"MISSING")</f>
        <v>Electronics</v>
      </c>
      <c r="H58" s="1">
        <f>_xlfn.XLOOKUP(D58,Products!A:A,Products!D:D,"MISSING")</f>
        <v>20000</v>
      </c>
      <c r="I58" s="1" t="str">
        <f t="shared" si="0"/>
        <v>Oct</v>
      </c>
      <c r="J58" s="1">
        <f t="shared" si="1"/>
        <v>100000</v>
      </c>
      <c r="K58" s="1" t="str">
        <f>_xlfn.XLOOKUP(C58,Customers!A:A,Customers!B:B,"MISSING")</f>
        <v>Arjun Malhotra</v>
      </c>
      <c r="L58" s="1" t="str">
        <f>_xlfn.XLOOKUP(D58,Products!A:A,Products!B:B,"MISSING")</f>
        <v>Mobile</v>
      </c>
    </row>
    <row r="59" spans="1:12">
      <c r="A59" s="1">
        <v>1058</v>
      </c>
      <c r="B59" s="1" t="s">
        <v>214</v>
      </c>
      <c r="C59" s="1" t="s">
        <v>110</v>
      </c>
      <c r="D59" s="1" t="s">
        <v>149</v>
      </c>
      <c r="E59" s="1">
        <v>5</v>
      </c>
      <c r="F59" s="1" t="str">
        <f>_xlfn.XLOOKUP(C59,Customers!A:A,Customers!C:C,"MISSING")</f>
        <v>Delhi</v>
      </c>
      <c r="G59" s="1" t="str">
        <f>_xlfn.XLOOKUP(D59,Products!A:A,Products!C:C,"MISSING")</f>
        <v>Furniture</v>
      </c>
      <c r="H59" s="1">
        <f>_xlfn.XLOOKUP(D59,Products!A:A,Products!D:D,"MISSING")</f>
        <v>25000</v>
      </c>
      <c r="I59" s="1" t="str">
        <f t="shared" si="0"/>
        <v>Apr</v>
      </c>
      <c r="J59" s="1">
        <f t="shared" si="1"/>
        <v>125000</v>
      </c>
      <c r="K59" s="1" t="str">
        <f>_xlfn.XLOOKUP(C59,Customers!A:A,Customers!B:B,"MISSING")</f>
        <v>Meera Kulkarni</v>
      </c>
      <c r="L59" s="1" t="str">
        <f>_xlfn.XLOOKUP(D59,Products!A:A,Products!B:B,"MISSING")</f>
        <v>Sofa</v>
      </c>
    </row>
    <row r="60" spans="1:12">
      <c r="A60" s="1">
        <v>1059</v>
      </c>
      <c r="B60" s="1" t="s">
        <v>181</v>
      </c>
      <c r="C60" s="1" t="s">
        <v>111</v>
      </c>
      <c r="D60" s="1" t="s">
        <v>158</v>
      </c>
      <c r="E60" s="1">
        <v>2</v>
      </c>
      <c r="F60" s="1" t="str">
        <f>_xlfn.XLOOKUP(C60,Customers!A:A,Customers!C:C,"MISSING")</f>
        <v>Delhi</v>
      </c>
      <c r="G60" s="1" t="str">
        <f>_xlfn.XLOOKUP(D60,Products!A:A,Products!C:C,"MISSING")</f>
        <v>Clothing</v>
      </c>
      <c r="H60" s="1">
        <f>_xlfn.XLOOKUP(D60,Products!A:A,Products!D:D,"MISSING")</f>
        <v>3500</v>
      </c>
      <c r="I60" s="1" t="str">
        <f t="shared" si="0"/>
        <v>Apr</v>
      </c>
      <c r="J60" s="1">
        <f t="shared" si="1"/>
        <v>7000</v>
      </c>
      <c r="K60" s="1" t="str">
        <f>_xlfn.XLOOKUP(C60,Customers!A:A,Customers!B:B,"MISSING")</f>
        <v>Sneha Iyer</v>
      </c>
      <c r="L60" s="1" t="str">
        <f>_xlfn.XLOOKUP(D60,Products!A:A,Products!B:B,"MISSING")</f>
        <v>Shoes</v>
      </c>
    </row>
    <row r="61" spans="1:12">
      <c r="A61" s="1">
        <v>1060</v>
      </c>
      <c r="B61" s="1" t="s">
        <v>215</v>
      </c>
      <c r="C61" s="1" t="s">
        <v>114</v>
      </c>
      <c r="D61" s="1" t="s">
        <v>144</v>
      </c>
      <c r="E61" s="1">
        <v>1</v>
      </c>
      <c r="F61" s="1" t="str">
        <f>_xlfn.XLOOKUP(C61,Customers!A:A,Customers!C:C,"MISSING")</f>
        <v>Mumbai</v>
      </c>
      <c r="G61" s="1" t="str">
        <f>_xlfn.XLOOKUP(D61,Products!A:A,Products!C:C,"MISSING")</f>
        <v>Furniture</v>
      </c>
      <c r="H61" s="1">
        <f>_xlfn.XLOOKUP(D61,Products!A:A,Products!D:D,"MISSING")</f>
        <v>3000</v>
      </c>
      <c r="I61" s="1" t="str">
        <f t="shared" si="0"/>
        <v>Dec</v>
      </c>
      <c r="J61" s="1">
        <f t="shared" si="1"/>
        <v>3000</v>
      </c>
      <c r="K61" s="1" t="str">
        <f>_xlfn.XLOOKUP(C61,Customers!A:A,Customers!B:B,"MISSING")</f>
        <v>Ishita Bose</v>
      </c>
      <c r="L61" s="1" t="str">
        <f>_xlfn.XLOOKUP(D61,Products!A:A,Products!B:B,"MISSING")</f>
        <v>Chair</v>
      </c>
    </row>
    <row r="62" spans="1:12">
      <c r="A62" s="1">
        <v>1061</v>
      </c>
      <c r="B62" s="1" t="s">
        <v>216</v>
      </c>
      <c r="C62" s="1" t="s">
        <v>110</v>
      </c>
      <c r="D62" s="1" t="s">
        <v>154</v>
      </c>
      <c r="E62" s="1">
        <v>3</v>
      </c>
      <c r="F62" s="1" t="str">
        <f>_xlfn.XLOOKUP(C62,Customers!A:A,Customers!C:C,"MISSING")</f>
        <v>Delhi</v>
      </c>
      <c r="G62" s="1" t="str">
        <f>_xlfn.XLOOKUP(D62,Products!A:A,Products!C:C,"MISSING")</f>
        <v>Clothing</v>
      </c>
      <c r="H62" s="1">
        <f>_xlfn.XLOOKUP(D62,Products!A:A,Products!D:D,"MISSING")</f>
        <v>2500</v>
      </c>
      <c r="I62" s="1" t="str">
        <f t="shared" si="0"/>
        <v>Feb</v>
      </c>
      <c r="J62" s="1">
        <f t="shared" si="1"/>
        <v>7500</v>
      </c>
      <c r="K62" s="1" t="str">
        <f>_xlfn.XLOOKUP(C62,Customers!A:A,Customers!B:B,"MISSING")</f>
        <v>Meera Kulkarni</v>
      </c>
      <c r="L62" s="1" t="str">
        <f>_xlfn.XLOOKUP(D62,Products!A:A,Products!B:B,"MISSING")</f>
        <v>Jeans</v>
      </c>
    </row>
    <row r="63" spans="1:12">
      <c r="A63" s="1">
        <v>1062</v>
      </c>
      <c r="B63" s="1" t="s">
        <v>217</v>
      </c>
      <c r="C63" s="1" t="s">
        <v>80</v>
      </c>
      <c r="D63" s="1" t="s">
        <v>158</v>
      </c>
      <c r="E63" s="1">
        <v>1</v>
      </c>
      <c r="F63" s="1" t="str">
        <f>_xlfn.XLOOKUP(C63,Customers!A:A,Customers!C:C,"MISSING")</f>
        <v>Kolkata</v>
      </c>
      <c r="G63" s="1" t="str">
        <f>_xlfn.XLOOKUP(D63,Products!A:A,Products!C:C,"MISSING")</f>
        <v>Clothing</v>
      </c>
      <c r="H63" s="1">
        <f>_xlfn.XLOOKUP(D63,Products!A:A,Products!D:D,"MISSING")</f>
        <v>3500</v>
      </c>
      <c r="I63" s="1" t="str">
        <f t="shared" si="0"/>
        <v>Apr</v>
      </c>
      <c r="J63" s="1">
        <f t="shared" si="1"/>
        <v>3500</v>
      </c>
      <c r="K63" s="1" t="str">
        <f>_xlfn.XLOOKUP(C63,Customers!A:A,Customers!B:B,"MISSING")</f>
        <v>Arjun Malhotra</v>
      </c>
      <c r="L63" s="1" t="str">
        <f>_xlfn.XLOOKUP(D63,Products!A:A,Products!B:B,"MISSING")</f>
        <v>Shoes</v>
      </c>
    </row>
    <row r="64" spans="1:12">
      <c r="A64" s="1">
        <v>1063</v>
      </c>
      <c r="B64" s="1" t="s">
        <v>214</v>
      </c>
      <c r="C64" s="1" t="s">
        <v>20</v>
      </c>
      <c r="D64" s="1" t="s">
        <v>154</v>
      </c>
      <c r="E64" s="1">
        <v>5</v>
      </c>
      <c r="F64" s="1" t="str">
        <f>_xlfn.XLOOKUP(C64,Customers!A:A,Customers!C:C,"MISSING")</f>
        <v>Bangalore</v>
      </c>
      <c r="G64" s="1" t="str">
        <f>_xlfn.XLOOKUP(D64,Products!A:A,Products!C:C,"MISSING")</f>
        <v>Clothing</v>
      </c>
      <c r="H64" s="1">
        <f>_xlfn.XLOOKUP(D64,Products!A:A,Products!D:D,"MISSING")</f>
        <v>2500</v>
      </c>
      <c r="I64" s="1" t="str">
        <f t="shared" si="0"/>
        <v>Apr</v>
      </c>
      <c r="J64" s="1">
        <f t="shared" si="1"/>
        <v>12500</v>
      </c>
      <c r="K64" s="1" t="str">
        <f>_xlfn.XLOOKUP(C64,Customers!A:A,Customers!B:B,"MISSING")</f>
        <v>Komal Gupta</v>
      </c>
      <c r="L64" s="1" t="str">
        <f>_xlfn.XLOOKUP(D64,Products!A:A,Products!B:B,"MISSING")</f>
        <v>Jeans</v>
      </c>
    </row>
    <row r="65" spans="1:12">
      <c r="A65" s="1">
        <v>1064</v>
      </c>
      <c r="B65" s="1" t="s">
        <v>218</v>
      </c>
      <c r="C65" s="1" t="s">
        <v>61</v>
      </c>
      <c r="D65" s="1" t="s">
        <v>151</v>
      </c>
      <c r="E65" s="1">
        <v>1</v>
      </c>
      <c r="F65" s="1" t="str">
        <f>_xlfn.XLOOKUP(C65,Customers!A:A,Customers!C:C,"MISSING")</f>
        <v>Delhi</v>
      </c>
      <c r="G65" s="1" t="str">
        <f>_xlfn.XLOOKUP(D65,Products!A:A,Products!C:C,"MISSING")</f>
        <v>Clothing</v>
      </c>
      <c r="H65" s="1">
        <f>_xlfn.XLOOKUP(D65,Products!A:A,Products!D:D,"MISSING")</f>
        <v>1500</v>
      </c>
      <c r="I65" s="1" t="str">
        <f t="shared" si="0"/>
        <v>Mar</v>
      </c>
      <c r="J65" s="1">
        <f t="shared" si="1"/>
        <v>1500</v>
      </c>
      <c r="K65" s="1" t="str">
        <f>_xlfn.XLOOKUP(C65,Customers!A:A,Customers!B:B,"MISSING")</f>
        <v>Rahul Sharma</v>
      </c>
      <c r="L65" s="1" t="str">
        <f>_xlfn.XLOOKUP(D65,Products!A:A,Products!B:B,"MISSING")</f>
        <v>T-Shirt</v>
      </c>
    </row>
    <row r="66" spans="1:12">
      <c r="A66" s="1">
        <v>1065</v>
      </c>
      <c r="B66" s="1" t="s">
        <v>219</v>
      </c>
      <c r="C66" s="1" t="s">
        <v>62</v>
      </c>
      <c r="D66" s="1" t="s">
        <v>154</v>
      </c>
      <c r="E66" s="1">
        <v>3</v>
      </c>
      <c r="F66" s="1" t="str">
        <f>_xlfn.XLOOKUP(C66,Customers!A:A,Customers!C:C,"MISSING")</f>
        <v>Delhi</v>
      </c>
      <c r="G66" s="1" t="str">
        <f>_xlfn.XLOOKUP(D66,Products!A:A,Products!C:C,"MISSING")</f>
        <v>Clothing</v>
      </c>
      <c r="H66" s="1">
        <f>_xlfn.XLOOKUP(D66,Products!A:A,Products!D:D,"MISSING")</f>
        <v>2500</v>
      </c>
      <c r="I66" s="1" t="str">
        <f t="shared" si="0"/>
        <v>Dec</v>
      </c>
      <c r="J66" s="1">
        <f t="shared" si="1"/>
        <v>7500</v>
      </c>
      <c r="K66" s="1" t="str">
        <f>_xlfn.XLOOKUP(C66,Customers!A:A,Customers!B:B,"MISSING")</f>
        <v>Ravi Patel</v>
      </c>
      <c r="L66" s="1" t="str">
        <f>_xlfn.XLOOKUP(D66,Products!A:A,Products!B:B,"MISSING")</f>
        <v>Jeans</v>
      </c>
    </row>
    <row r="67" spans="1:12">
      <c r="A67" s="1">
        <v>1066</v>
      </c>
      <c r="B67" s="1" t="s">
        <v>187</v>
      </c>
      <c r="C67" s="1" t="s">
        <v>92</v>
      </c>
      <c r="D67" s="1" t="s">
        <v>149</v>
      </c>
      <c r="E67" s="1">
        <v>5</v>
      </c>
      <c r="F67" s="1" t="str">
        <f>_xlfn.XLOOKUP(C67,Customers!A:A,Customers!C:C,"MISSING")</f>
        <v>Lucknow</v>
      </c>
      <c r="G67" s="1" t="str">
        <f>_xlfn.XLOOKUP(D67,Products!A:A,Products!C:C,"MISSING")</f>
        <v>Furniture</v>
      </c>
      <c r="H67" s="1">
        <f>_xlfn.XLOOKUP(D67,Products!A:A,Products!D:D,"MISSING")</f>
        <v>25000</v>
      </c>
      <c r="I67" s="1" t="str">
        <f t="shared" ref="I67:I130" si="2">TEXT(B67,"mmm")</f>
        <v>Feb</v>
      </c>
      <c r="J67" s="1">
        <f t="shared" ref="J67:J130" si="3">E67*H67</f>
        <v>125000</v>
      </c>
      <c r="K67" s="1" t="str">
        <f>_xlfn.XLOOKUP(C67,Customers!A:A,Customers!B:B,"MISSING")</f>
        <v>Rohit Sen</v>
      </c>
      <c r="L67" s="1" t="str">
        <f>_xlfn.XLOOKUP(D67,Products!A:A,Products!B:B,"MISSING")</f>
        <v>Sofa</v>
      </c>
    </row>
    <row r="68" spans="1:12">
      <c r="A68" s="1">
        <v>1067</v>
      </c>
      <c r="B68" s="1" t="s">
        <v>220</v>
      </c>
      <c r="C68" s="1" t="s">
        <v>103</v>
      </c>
      <c r="D68" s="1" t="s">
        <v>137</v>
      </c>
      <c r="E68" s="1">
        <v>4</v>
      </c>
      <c r="F68" s="1" t="str">
        <f>_xlfn.XLOOKUP(C68,Customers!A:A,Customers!C:C,"MISSING")</f>
        <v>Bangalore</v>
      </c>
      <c r="G68" s="1" t="str">
        <f>_xlfn.XLOOKUP(D68,Products!A:A,Products!C:C,"MISSING")</f>
        <v>Electronics</v>
      </c>
      <c r="H68" s="1">
        <f>_xlfn.XLOOKUP(D68,Products!A:A,Products!D:D,"MISSING")</f>
        <v>50000</v>
      </c>
      <c r="I68" s="1" t="str">
        <f t="shared" si="2"/>
        <v>Oct</v>
      </c>
      <c r="J68" s="1">
        <f t="shared" si="3"/>
        <v>200000</v>
      </c>
      <c r="K68" s="1" t="str">
        <f>_xlfn.XLOOKUP(C68,Customers!A:A,Customers!B:B,"MISSING")</f>
        <v>Neha Singh</v>
      </c>
      <c r="L68" s="1" t="str">
        <f>_xlfn.XLOOKUP(D68,Products!A:A,Products!B:B,"MISSING")</f>
        <v>Laptop</v>
      </c>
    </row>
    <row r="69" spans="1:12">
      <c r="A69" s="1">
        <v>1068</v>
      </c>
      <c r="B69" s="1" t="s">
        <v>221</v>
      </c>
      <c r="C69" s="1" t="s">
        <v>90</v>
      </c>
      <c r="D69" s="1" t="s">
        <v>156</v>
      </c>
      <c r="E69" s="1">
        <v>3</v>
      </c>
      <c r="F69" s="1" t="str">
        <f>_xlfn.XLOOKUP(C69,Customers!A:A,Customers!C:C,"MISSING")</f>
        <v>Mumbai</v>
      </c>
      <c r="G69" s="1" t="str">
        <f>_xlfn.XLOOKUP(D69,Products!A:A,Products!C:C,"MISSING")</f>
        <v>Clothing</v>
      </c>
      <c r="H69" s="1">
        <f>_xlfn.XLOOKUP(D69,Products!A:A,Products!D:D,"MISSING")</f>
        <v>1800</v>
      </c>
      <c r="I69" s="1" t="str">
        <f t="shared" si="2"/>
        <v>Apr</v>
      </c>
      <c r="J69" s="1">
        <f t="shared" si="3"/>
        <v>5400</v>
      </c>
      <c r="K69" s="1" t="str">
        <f>_xlfn.XLOOKUP(C69,Customers!A:A,Customers!B:B,"MISSING")</f>
        <v>Karan Mehta</v>
      </c>
      <c r="L69" s="1" t="str">
        <f>_xlfn.XLOOKUP(D69,Products!A:A,Products!B:B,"MISSING")</f>
        <v>Shirt</v>
      </c>
    </row>
    <row r="70" spans="1:12">
      <c r="A70" s="1">
        <v>1069</v>
      </c>
      <c r="B70" s="1" t="s">
        <v>202</v>
      </c>
      <c r="C70" s="1" t="s">
        <v>122</v>
      </c>
      <c r="D70" s="1" t="s">
        <v>158</v>
      </c>
      <c r="E70" s="1">
        <v>3</v>
      </c>
      <c r="F70" s="1" t="str">
        <f>_xlfn.XLOOKUP(C70,Customers!A:A,Customers!C:C,"MISSING")</f>
        <v>Delhi</v>
      </c>
      <c r="G70" s="1" t="str">
        <f>_xlfn.XLOOKUP(D70,Products!A:A,Products!C:C,"MISSING")</f>
        <v>Clothing</v>
      </c>
      <c r="H70" s="1">
        <f>_xlfn.XLOOKUP(D70,Products!A:A,Products!D:D,"MISSING")</f>
        <v>3500</v>
      </c>
      <c r="I70" s="1" t="str">
        <f t="shared" si="2"/>
        <v>Jul</v>
      </c>
      <c r="J70" s="1">
        <f t="shared" si="3"/>
        <v>10500</v>
      </c>
      <c r="K70" s="1" t="str">
        <f>_xlfn.XLOOKUP(C70,Customers!A:A,Customers!B:B,"MISSING")</f>
        <v>Rohit Sen</v>
      </c>
      <c r="L70" s="1" t="str">
        <f>_xlfn.XLOOKUP(D70,Products!A:A,Products!B:B,"MISSING")</f>
        <v>Shoes</v>
      </c>
    </row>
    <row r="71" spans="1:12">
      <c r="A71" s="1">
        <v>1070</v>
      </c>
      <c r="B71" s="1" t="s">
        <v>222</v>
      </c>
      <c r="C71" s="1" t="s">
        <v>91</v>
      </c>
      <c r="D71" s="1" t="s">
        <v>147</v>
      </c>
      <c r="E71" s="1">
        <v>3</v>
      </c>
      <c r="F71" s="1" t="str">
        <f>_xlfn.XLOOKUP(C71,Customers!A:A,Customers!C:C,"MISSING")</f>
        <v>Jaipur</v>
      </c>
      <c r="G71" s="1" t="str">
        <f>_xlfn.XLOOKUP(D71,Products!A:A,Products!C:C,"MISSING")</f>
        <v>Furniture</v>
      </c>
      <c r="H71" s="1">
        <f>_xlfn.XLOOKUP(D71,Products!A:A,Products!D:D,"MISSING")</f>
        <v>7000</v>
      </c>
      <c r="I71" s="1" t="str">
        <f t="shared" si="2"/>
        <v>Mar</v>
      </c>
      <c r="J71" s="1">
        <f t="shared" si="3"/>
        <v>21000</v>
      </c>
      <c r="K71" s="1" t="str">
        <f>_xlfn.XLOOKUP(C71,Customers!A:A,Customers!B:B,"MISSING")</f>
        <v>Karan Mehta</v>
      </c>
      <c r="L71" s="1" t="str">
        <f>_xlfn.XLOOKUP(D71,Products!A:A,Products!B:B,"MISSING")</f>
        <v>Table</v>
      </c>
    </row>
    <row r="72" spans="1:12">
      <c r="A72" s="1">
        <v>1071</v>
      </c>
      <c r="B72" s="1" t="s">
        <v>223</v>
      </c>
      <c r="C72" s="1" t="s">
        <v>99</v>
      </c>
      <c r="D72" s="1" t="s">
        <v>144</v>
      </c>
      <c r="E72" s="1">
        <v>4</v>
      </c>
      <c r="F72" s="1" t="str">
        <f>_xlfn.XLOOKUP(C72,Customers!A:A,Customers!C:C,"MISSING")</f>
        <v>Pune</v>
      </c>
      <c r="G72" s="1" t="str">
        <f>_xlfn.XLOOKUP(D72,Products!A:A,Products!C:C,"MISSING")</f>
        <v>Furniture</v>
      </c>
      <c r="H72" s="1">
        <f>_xlfn.XLOOKUP(D72,Products!A:A,Products!D:D,"MISSING")</f>
        <v>3000</v>
      </c>
      <c r="I72" s="1" t="str">
        <f t="shared" si="2"/>
        <v>Apr</v>
      </c>
      <c r="J72" s="1">
        <f t="shared" si="3"/>
        <v>12000</v>
      </c>
      <c r="K72" s="1" t="str">
        <f>_xlfn.XLOOKUP(C72,Customers!A:A,Customers!B:B,"MISSING")</f>
        <v>Rohit Sen</v>
      </c>
      <c r="L72" s="1" t="str">
        <f>_xlfn.XLOOKUP(D72,Products!A:A,Products!B:B,"MISSING")</f>
        <v>Chair</v>
      </c>
    </row>
    <row r="73" spans="1:12">
      <c r="A73" s="1">
        <v>1072</v>
      </c>
      <c r="B73" s="1" t="s">
        <v>224</v>
      </c>
      <c r="C73" s="1" t="s">
        <v>103</v>
      </c>
      <c r="D73" s="1" t="s">
        <v>147</v>
      </c>
      <c r="E73" s="1">
        <v>4</v>
      </c>
      <c r="F73" s="1" t="str">
        <f>_xlfn.XLOOKUP(C73,Customers!A:A,Customers!C:C,"MISSING")</f>
        <v>Bangalore</v>
      </c>
      <c r="G73" s="1" t="str">
        <f>_xlfn.XLOOKUP(D73,Products!A:A,Products!C:C,"MISSING")</f>
        <v>Furniture</v>
      </c>
      <c r="H73" s="1">
        <f>_xlfn.XLOOKUP(D73,Products!A:A,Products!D:D,"MISSING")</f>
        <v>7000</v>
      </c>
      <c r="I73" s="1" t="str">
        <f t="shared" si="2"/>
        <v>Mar</v>
      </c>
      <c r="J73" s="1">
        <f t="shared" si="3"/>
        <v>28000</v>
      </c>
      <c r="K73" s="1" t="str">
        <f>_xlfn.XLOOKUP(C73,Customers!A:A,Customers!B:B,"MISSING")</f>
        <v>Neha Singh</v>
      </c>
      <c r="L73" s="1" t="str">
        <f>_xlfn.XLOOKUP(D73,Products!A:A,Products!B:B,"MISSING")</f>
        <v>Table</v>
      </c>
    </row>
    <row r="74" spans="1:12">
      <c r="A74" s="1">
        <v>1073</v>
      </c>
      <c r="B74" s="1" t="s">
        <v>225</v>
      </c>
      <c r="C74" s="1" t="s">
        <v>89</v>
      </c>
      <c r="D74" s="1" t="s">
        <v>137</v>
      </c>
      <c r="E74" s="1">
        <v>1</v>
      </c>
      <c r="F74" s="1" t="str">
        <f>_xlfn.XLOOKUP(C74,Customers!A:A,Customers!C:C,"MISSING")</f>
        <v>Bangalore</v>
      </c>
      <c r="G74" s="1" t="str">
        <f>_xlfn.XLOOKUP(D74,Products!A:A,Products!C:C,"MISSING")</f>
        <v>Electronics</v>
      </c>
      <c r="H74" s="1">
        <f>_xlfn.XLOOKUP(D74,Products!A:A,Products!D:D,"MISSING")</f>
        <v>50000</v>
      </c>
      <c r="I74" s="1" t="str">
        <f t="shared" si="2"/>
        <v>Jan</v>
      </c>
      <c r="J74" s="1">
        <f t="shared" si="3"/>
        <v>50000</v>
      </c>
      <c r="K74" s="1" t="str">
        <f>_xlfn.XLOOKUP(C74,Customers!A:A,Customers!B:B,"MISSING")</f>
        <v>Priya Kapoor</v>
      </c>
      <c r="L74" s="1" t="str">
        <f>_xlfn.XLOOKUP(D74,Products!A:A,Products!B:B,"MISSING")</f>
        <v>Laptop</v>
      </c>
    </row>
    <row r="75" spans="1:12">
      <c r="A75" s="1">
        <v>1074</v>
      </c>
      <c r="B75" s="1" t="s">
        <v>226</v>
      </c>
      <c r="C75" s="1" t="s">
        <v>87</v>
      </c>
      <c r="D75" s="1" t="s">
        <v>154</v>
      </c>
      <c r="E75" s="1">
        <v>5</v>
      </c>
      <c r="F75" s="1" t="str">
        <f>_xlfn.XLOOKUP(C75,Customers!A:A,Customers!C:C,"MISSING")</f>
        <v>Mumbai</v>
      </c>
      <c r="G75" s="1" t="str">
        <f>_xlfn.XLOOKUP(D75,Products!A:A,Products!C:C,"MISSING")</f>
        <v>Clothing</v>
      </c>
      <c r="H75" s="1">
        <f>_xlfn.XLOOKUP(D75,Products!A:A,Products!D:D,"MISSING")</f>
        <v>2500</v>
      </c>
      <c r="I75" s="1" t="str">
        <f t="shared" si="2"/>
        <v>Jun</v>
      </c>
      <c r="J75" s="1">
        <f t="shared" si="3"/>
        <v>12500</v>
      </c>
      <c r="K75" s="1" t="str">
        <f>_xlfn.XLOOKUP(C75,Customers!A:A,Customers!B:B,"MISSING")</f>
        <v>Ravi Patel</v>
      </c>
      <c r="L75" s="1" t="str">
        <f>_xlfn.XLOOKUP(D75,Products!A:A,Products!B:B,"MISSING")</f>
        <v>Jeans</v>
      </c>
    </row>
    <row r="76" spans="1:12">
      <c r="A76" s="1">
        <v>1075</v>
      </c>
      <c r="B76" s="1" t="s">
        <v>227</v>
      </c>
      <c r="C76" s="1" t="s">
        <v>126</v>
      </c>
      <c r="D76" s="1" t="s">
        <v>142</v>
      </c>
      <c r="E76" s="1">
        <v>1</v>
      </c>
      <c r="F76" s="1" t="str">
        <f>_xlfn.XLOOKUP(C76,Customers!A:A,Customers!C:C,"MISSING")</f>
        <v>Mumbai</v>
      </c>
      <c r="G76" s="1" t="str">
        <f>_xlfn.XLOOKUP(D76,Products!A:A,Products!C:C,"MISSING")</f>
        <v>Electronics</v>
      </c>
      <c r="H76" s="1">
        <f>_xlfn.XLOOKUP(D76,Products!A:A,Products!D:D,"MISSING")</f>
        <v>15000</v>
      </c>
      <c r="I76" s="1" t="str">
        <f t="shared" si="2"/>
        <v>Jan</v>
      </c>
      <c r="J76" s="1">
        <f t="shared" si="3"/>
        <v>15000</v>
      </c>
      <c r="K76" s="1" t="str">
        <f>_xlfn.XLOOKUP(C76,Customers!A:A,Customers!B:B,"MISSING")</f>
        <v>Sejal Shah</v>
      </c>
      <c r="L76" s="1" t="str">
        <f>_xlfn.XLOOKUP(D76,Products!A:A,Products!B:B,"MISSING")</f>
        <v>Tablet</v>
      </c>
    </row>
    <row r="77" spans="1:12">
      <c r="A77" s="1">
        <v>1076</v>
      </c>
      <c r="B77" s="1" t="s">
        <v>199</v>
      </c>
      <c r="C77" s="1" t="s">
        <v>47</v>
      </c>
      <c r="D77" s="1" t="s">
        <v>151</v>
      </c>
      <c r="E77" s="1">
        <v>4</v>
      </c>
      <c r="F77" s="1" t="str">
        <f>_xlfn.XLOOKUP(C77,Customers!A:A,Customers!C:C,"MISSING")</f>
        <v>Mumbai</v>
      </c>
      <c r="G77" s="1" t="str">
        <f>_xlfn.XLOOKUP(D77,Products!A:A,Products!C:C,"MISSING")</f>
        <v>Clothing</v>
      </c>
      <c r="H77" s="1">
        <f>_xlfn.XLOOKUP(D77,Products!A:A,Products!D:D,"MISSING")</f>
        <v>1500</v>
      </c>
      <c r="I77" s="1" t="str">
        <f t="shared" si="2"/>
        <v>Feb</v>
      </c>
      <c r="J77" s="1">
        <f t="shared" si="3"/>
        <v>6000</v>
      </c>
      <c r="K77" s="1" t="str">
        <f>_xlfn.XLOOKUP(C77,Customers!A:A,Customers!B:B,"MISSING")</f>
        <v>Amit Verma</v>
      </c>
      <c r="L77" s="1" t="str">
        <f>_xlfn.XLOOKUP(D77,Products!A:A,Products!B:B,"MISSING")</f>
        <v>T-Shirt</v>
      </c>
    </row>
    <row r="78" spans="1:12">
      <c r="A78" s="1">
        <v>1077</v>
      </c>
      <c r="B78" s="1" t="s">
        <v>228</v>
      </c>
      <c r="C78" s="1" t="s">
        <v>102</v>
      </c>
      <c r="D78" s="1" t="s">
        <v>154</v>
      </c>
      <c r="E78" s="1">
        <v>1</v>
      </c>
      <c r="F78" s="1" t="str">
        <f>_xlfn.XLOOKUP(C78,Customers!A:A,Customers!C:C,"MISSING")</f>
        <v>Lucknow</v>
      </c>
      <c r="G78" s="1" t="str">
        <f>_xlfn.XLOOKUP(D78,Products!A:A,Products!C:C,"MISSING")</f>
        <v>Clothing</v>
      </c>
      <c r="H78" s="1">
        <f>_xlfn.XLOOKUP(D78,Products!A:A,Products!D:D,"MISSING")</f>
        <v>2500</v>
      </c>
      <c r="I78" s="1" t="str">
        <f t="shared" si="2"/>
        <v>Mar</v>
      </c>
      <c r="J78" s="1">
        <f t="shared" si="3"/>
        <v>2500</v>
      </c>
      <c r="K78" s="1" t="str">
        <f>_xlfn.XLOOKUP(C78,Customers!A:A,Customers!B:B,"MISSING")</f>
        <v>Manav Arora</v>
      </c>
      <c r="L78" s="1" t="str">
        <f>_xlfn.XLOOKUP(D78,Products!A:A,Products!B:B,"MISSING")</f>
        <v>Jeans</v>
      </c>
    </row>
    <row r="79" spans="1:12">
      <c r="A79" s="1">
        <v>1078</v>
      </c>
      <c r="B79" s="1" t="s">
        <v>229</v>
      </c>
      <c r="C79" s="1" t="s">
        <v>74</v>
      </c>
      <c r="D79" s="1" t="s">
        <v>149</v>
      </c>
      <c r="E79" s="1">
        <v>3</v>
      </c>
      <c r="F79" s="1" t="str">
        <f>_xlfn.XLOOKUP(C79,Customers!A:A,Customers!C:C,"MISSING")</f>
        <v>Lucknow</v>
      </c>
      <c r="G79" s="1" t="str">
        <f>_xlfn.XLOOKUP(D79,Products!A:A,Products!C:C,"MISSING")</f>
        <v>Furniture</v>
      </c>
      <c r="H79" s="1">
        <f>_xlfn.XLOOKUP(D79,Products!A:A,Products!D:D,"MISSING")</f>
        <v>25000</v>
      </c>
      <c r="I79" s="1" t="str">
        <f t="shared" si="2"/>
        <v>Aug</v>
      </c>
      <c r="J79" s="1">
        <f t="shared" si="3"/>
        <v>75000</v>
      </c>
      <c r="K79" s="1" t="str">
        <f>_xlfn.XLOOKUP(C79,Customers!A:A,Customers!B:B,"MISSING")</f>
        <v>Nitin Joshi</v>
      </c>
      <c r="L79" s="1" t="str">
        <f>_xlfn.XLOOKUP(D79,Products!A:A,Products!B:B,"MISSING")</f>
        <v>Sofa</v>
      </c>
    </row>
    <row r="80" spans="1:12">
      <c r="A80" s="1">
        <v>1079</v>
      </c>
      <c r="B80" s="1" t="s">
        <v>168</v>
      </c>
      <c r="C80" s="1" t="s">
        <v>23</v>
      </c>
      <c r="D80" s="1" t="s">
        <v>149</v>
      </c>
      <c r="E80" s="1">
        <v>4</v>
      </c>
      <c r="F80" s="1" t="str">
        <f>_xlfn.XLOOKUP(C80,Customers!A:A,Customers!C:C,"MISSING")</f>
        <v>Kolkata</v>
      </c>
      <c r="G80" s="1" t="str">
        <f>_xlfn.XLOOKUP(D80,Products!A:A,Products!C:C,"MISSING")</f>
        <v>Furniture</v>
      </c>
      <c r="H80" s="1">
        <f>_xlfn.XLOOKUP(D80,Products!A:A,Products!D:D,"MISSING")</f>
        <v>25000</v>
      </c>
      <c r="I80" s="1" t="str">
        <f t="shared" si="2"/>
        <v>Apr</v>
      </c>
      <c r="J80" s="1">
        <f t="shared" si="3"/>
        <v>100000</v>
      </c>
      <c r="K80" s="1" t="str">
        <f>_xlfn.XLOOKUP(C80,Customers!A:A,Customers!B:B,"MISSING")</f>
        <v>Tanya Sethi</v>
      </c>
      <c r="L80" s="1" t="str">
        <f>_xlfn.XLOOKUP(D80,Products!A:A,Products!B:B,"MISSING")</f>
        <v>Sofa</v>
      </c>
    </row>
    <row r="81" spans="1:12">
      <c r="A81" s="1">
        <v>1080</v>
      </c>
      <c r="B81" s="1" t="s">
        <v>230</v>
      </c>
      <c r="C81" s="1" t="s">
        <v>84</v>
      </c>
      <c r="D81" s="1" t="s">
        <v>147</v>
      </c>
      <c r="E81" s="1">
        <v>4</v>
      </c>
      <c r="F81" s="1" t="str">
        <f>_xlfn.XLOOKUP(C81,Customers!A:A,Customers!C:C,"MISSING")</f>
        <v>Mumbai</v>
      </c>
      <c r="G81" s="1" t="str">
        <f>_xlfn.XLOOKUP(D81,Products!A:A,Products!C:C,"MISSING")</f>
        <v>Furniture</v>
      </c>
      <c r="H81" s="1">
        <f>_xlfn.XLOOKUP(D81,Products!A:A,Products!D:D,"MISSING")</f>
        <v>7000</v>
      </c>
      <c r="I81" s="1" t="str">
        <f t="shared" si="2"/>
        <v>Nov</v>
      </c>
      <c r="J81" s="1">
        <f t="shared" si="3"/>
        <v>28000</v>
      </c>
      <c r="K81" s="1" t="str">
        <f>_xlfn.XLOOKUP(C81,Customers!A:A,Customers!B:B,"MISSING")</f>
        <v>Manav Arora</v>
      </c>
      <c r="L81" s="1" t="str">
        <f>_xlfn.XLOOKUP(D81,Products!A:A,Products!B:B,"MISSING")</f>
        <v>Table</v>
      </c>
    </row>
    <row r="82" spans="1:12">
      <c r="A82" s="1">
        <v>1081</v>
      </c>
      <c r="B82" s="1" t="s">
        <v>231</v>
      </c>
      <c r="C82" s="1" t="s">
        <v>122</v>
      </c>
      <c r="D82" s="1" t="s">
        <v>142</v>
      </c>
      <c r="E82" s="1">
        <v>2</v>
      </c>
      <c r="F82" s="1" t="str">
        <f>_xlfn.XLOOKUP(C82,Customers!A:A,Customers!C:C,"MISSING")</f>
        <v>Delhi</v>
      </c>
      <c r="G82" s="1" t="str">
        <f>_xlfn.XLOOKUP(D82,Products!A:A,Products!C:C,"MISSING")</f>
        <v>Electronics</v>
      </c>
      <c r="H82" s="1">
        <f>_xlfn.XLOOKUP(D82,Products!A:A,Products!D:D,"MISSING")</f>
        <v>15000</v>
      </c>
      <c r="I82" s="1" t="str">
        <f t="shared" si="2"/>
        <v>Apr</v>
      </c>
      <c r="J82" s="1">
        <f t="shared" si="3"/>
        <v>30000</v>
      </c>
      <c r="K82" s="1" t="str">
        <f>_xlfn.XLOOKUP(C82,Customers!A:A,Customers!B:B,"MISSING")</f>
        <v>Rohit Sen</v>
      </c>
      <c r="L82" s="1" t="str">
        <f>_xlfn.XLOOKUP(D82,Products!A:A,Products!B:B,"MISSING")</f>
        <v>Tablet</v>
      </c>
    </row>
    <row r="83" spans="1:12">
      <c r="A83" s="1">
        <v>1082</v>
      </c>
      <c r="B83" s="1" t="s">
        <v>232</v>
      </c>
      <c r="C83" s="1" t="s">
        <v>96</v>
      </c>
      <c r="D83" s="1" t="s">
        <v>149</v>
      </c>
      <c r="E83" s="1">
        <v>3</v>
      </c>
      <c r="F83" s="1" t="str">
        <f>_xlfn.XLOOKUP(C83,Customers!A:A,Customers!C:C,"MISSING")</f>
        <v>Ahmedabad</v>
      </c>
      <c r="G83" s="1" t="str">
        <f>_xlfn.XLOOKUP(D83,Products!A:A,Products!C:C,"MISSING")</f>
        <v>Furniture</v>
      </c>
      <c r="H83" s="1">
        <f>_xlfn.XLOOKUP(D83,Products!A:A,Products!D:D,"MISSING")</f>
        <v>25000</v>
      </c>
      <c r="I83" s="1" t="str">
        <f t="shared" si="2"/>
        <v>Jan</v>
      </c>
      <c r="J83" s="1">
        <f t="shared" si="3"/>
        <v>75000</v>
      </c>
      <c r="K83" s="1" t="str">
        <f>_xlfn.XLOOKUP(C83,Customers!A:A,Customers!B:B,"MISSING")</f>
        <v>Pooja Jain</v>
      </c>
      <c r="L83" s="1" t="str">
        <f>_xlfn.XLOOKUP(D83,Products!A:A,Products!B:B,"MISSING")</f>
        <v>Sofa</v>
      </c>
    </row>
    <row r="84" spans="1:12">
      <c r="A84" s="1">
        <v>1083</v>
      </c>
      <c r="B84" s="1" t="s">
        <v>233</v>
      </c>
      <c r="C84" s="1" t="s">
        <v>125</v>
      </c>
      <c r="D84" s="1" t="s">
        <v>144</v>
      </c>
      <c r="E84" s="1">
        <v>3</v>
      </c>
      <c r="F84" s="1" t="str">
        <f>_xlfn.XLOOKUP(C84,Customers!A:A,Customers!C:C,"MISSING")</f>
        <v>Pune</v>
      </c>
      <c r="G84" s="1" t="str">
        <f>_xlfn.XLOOKUP(D84,Products!A:A,Products!C:C,"MISSING")</f>
        <v>Furniture</v>
      </c>
      <c r="H84" s="1">
        <f>_xlfn.XLOOKUP(D84,Products!A:A,Products!D:D,"MISSING")</f>
        <v>3000</v>
      </c>
      <c r="I84" s="1" t="str">
        <f t="shared" si="2"/>
        <v>May</v>
      </c>
      <c r="J84" s="1">
        <f t="shared" si="3"/>
        <v>9000</v>
      </c>
      <c r="K84" s="1" t="str">
        <f>_xlfn.XLOOKUP(C84,Customers!A:A,Customers!B:B,"MISSING")</f>
        <v>Sneha Iyer</v>
      </c>
      <c r="L84" s="1" t="str">
        <f>_xlfn.XLOOKUP(D84,Products!A:A,Products!B:B,"MISSING")</f>
        <v>Chair</v>
      </c>
    </row>
    <row r="85" spans="1:12">
      <c r="A85" s="1">
        <v>1084</v>
      </c>
      <c r="B85" s="1" t="s">
        <v>234</v>
      </c>
      <c r="C85" s="1" t="s">
        <v>113</v>
      </c>
      <c r="D85" s="1" t="s">
        <v>142</v>
      </c>
      <c r="E85" s="1">
        <v>1</v>
      </c>
      <c r="F85" s="1" t="str">
        <f>_xlfn.XLOOKUP(C85,Customers!A:A,Customers!C:C,"MISSING")</f>
        <v>Mumbai</v>
      </c>
      <c r="G85" s="1" t="str">
        <f>_xlfn.XLOOKUP(D85,Products!A:A,Products!C:C,"MISSING")</f>
        <v>Electronics</v>
      </c>
      <c r="H85" s="1">
        <f>_xlfn.XLOOKUP(D85,Products!A:A,Products!D:D,"MISSING")</f>
        <v>15000</v>
      </c>
      <c r="I85" s="1" t="str">
        <f t="shared" si="2"/>
        <v>Nov</v>
      </c>
      <c r="J85" s="1">
        <f t="shared" si="3"/>
        <v>15000</v>
      </c>
      <c r="K85" s="1" t="str">
        <f>_xlfn.XLOOKUP(C85,Customers!A:A,Customers!B:B,"MISSING")</f>
        <v>Rohit Sen</v>
      </c>
      <c r="L85" s="1" t="str">
        <f>_xlfn.XLOOKUP(D85,Products!A:A,Products!B:B,"MISSING")</f>
        <v>Tablet</v>
      </c>
    </row>
    <row r="86" spans="1:12">
      <c r="A86" s="1">
        <v>1085</v>
      </c>
      <c r="B86" s="1" t="s">
        <v>235</v>
      </c>
      <c r="C86" s="1" t="s">
        <v>51</v>
      </c>
      <c r="D86" s="1" t="s">
        <v>147</v>
      </c>
      <c r="E86" s="1">
        <v>1</v>
      </c>
      <c r="F86" s="1" t="str">
        <f>_xlfn.XLOOKUP(C86,Customers!A:A,Customers!C:C,"MISSING")</f>
        <v>Mumbai</v>
      </c>
      <c r="G86" s="1" t="str">
        <f>_xlfn.XLOOKUP(D86,Products!A:A,Products!C:C,"MISSING")</f>
        <v>Furniture</v>
      </c>
      <c r="H86" s="1">
        <f>_xlfn.XLOOKUP(D86,Products!A:A,Products!D:D,"MISSING")</f>
        <v>7000</v>
      </c>
      <c r="I86" s="1" t="str">
        <f t="shared" si="2"/>
        <v>Jan</v>
      </c>
      <c r="J86" s="1">
        <f t="shared" si="3"/>
        <v>7000</v>
      </c>
      <c r="K86" s="1" t="str">
        <f>_xlfn.XLOOKUP(C86,Customers!A:A,Customers!B:B,"MISSING")</f>
        <v>Rahul Sharma</v>
      </c>
      <c r="L86" s="1" t="str">
        <f>_xlfn.XLOOKUP(D86,Products!A:A,Products!B:B,"MISSING")</f>
        <v>Table</v>
      </c>
    </row>
    <row r="87" spans="1:12">
      <c r="A87" s="1">
        <v>1086</v>
      </c>
      <c r="B87" s="1" t="s">
        <v>213</v>
      </c>
      <c r="C87" s="1" t="s">
        <v>54</v>
      </c>
      <c r="D87" s="1" t="s">
        <v>154</v>
      </c>
      <c r="E87" s="1">
        <v>2</v>
      </c>
      <c r="F87" s="1" t="str">
        <f>_xlfn.XLOOKUP(C87,Customers!A:A,Customers!C:C,"MISSING")</f>
        <v>Chennai</v>
      </c>
      <c r="G87" s="1" t="str">
        <f>_xlfn.XLOOKUP(D87,Products!A:A,Products!C:C,"MISSING")</f>
        <v>Clothing</v>
      </c>
      <c r="H87" s="1">
        <f>_xlfn.XLOOKUP(D87,Products!A:A,Products!D:D,"MISSING")</f>
        <v>2500</v>
      </c>
      <c r="I87" s="1" t="str">
        <f t="shared" si="2"/>
        <v>Oct</v>
      </c>
      <c r="J87" s="1">
        <f t="shared" si="3"/>
        <v>5000</v>
      </c>
      <c r="K87" s="1" t="str">
        <f>_xlfn.XLOOKUP(C87,Customers!A:A,Customers!B:B,"MISSING")</f>
        <v>Ravi Patel</v>
      </c>
      <c r="L87" s="1" t="str">
        <f>_xlfn.XLOOKUP(D87,Products!A:A,Products!B:B,"MISSING")</f>
        <v>Jeans</v>
      </c>
    </row>
    <row r="88" spans="1:12">
      <c r="A88" s="1">
        <v>1087</v>
      </c>
      <c r="B88" s="1" t="s">
        <v>220</v>
      </c>
      <c r="C88" s="1" t="s">
        <v>104</v>
      </c>
      <c r="D88" s="1" t="s">
        <v>151</v>
      </c>
      <c r="E88" s="1">
        <v>5</v>
      </c>
      <c r="F88" s="1" t="str">
        <f>_xlfn.XLOOKUP(C88,Customers!A:A,Customers!C:C,"MISSING")</f>
        <v>Ahmedabad</v>
      </c>
      <c r="G88" s="1" t="str">
        <f>_xlfn.XLOOKUP(D88,Products!A:A,Products!C:C,"MISSING")</f>
        <v>Clothing</v>
      </c>
      <c r="H88" s="1">
        <f>_xlfn.XLOOKUP(D88,Products!A:A,Products!D:D,"MISSING")</f>
        <v>1500</v>
      </c>
      <c r="I88" s="1" t="str">
        <f t="shared" si="2"/>
        <v>Oct</v>
      </c>
      <c r="J88" s="1">
        <f t="shared" si="3"/>
        <v>7500</v>
      </c>
      <c r="K88" s="1" t="str">
        <f>_xlfn.XLOOKUP(C88,Customers!A:A,Customers!B:B,"MISSING")</f>
        <v>Amit Verma</v>
      </c>
      <c r="L88" s="1" t="str">
        <f>_xlfn.XLOOKUP(D88,Products!A:A,Products!B:B,"MISSING")</f>
        <v>T-Shirt</v>
      </c>
    </row>
    <row r="89" spans="1:12">
      <c r="A89" s="1">
        <v>1088</v>
      </c>
      <c r="B89" s="1" t="s">
        <v>236</v>
      </c>
      <c r="C89" s="1" t="s">
        <v>68</v>
      </c>
      <c r="D89" s="1" t="s">
        <v>137</v>
      </c>
      <c r="E89" s="1">
        <v>1</v>
      </c>
      <c r="F89" s="1" t="str">
        <f>_xlfn.XLOOKUP(C89,Customers!A:A,Customers!C:C,"MISSING")</f>
        <v>Pune</v>
      </c>
      <c r="G89" s="1" t="str">
        <f>_xlfn.XLOOKUP(D89,Products!A:A,Products!C:C,"MISSING")</f>
        <v>Electronics</v>
      </c>
      <c r="H89" s="1">
        <f>_xlfn.XLOOKUP(D89,Products!A:A,Products!D:D,"MISSING")</f>
        <v>50000</v>
      </c>
      <c r="I89" s="1" t="str">
        <f t="shared" si="2"/>
        <v>Oct</v>
      </c>
      <c r="J89" s="1">
        <f t="shared" si="3"/>
        <v>50000</v>
      </c>
      <c r="K89" s="1" t="str">
        <f>_xlfn.XLOOKUP(C89,Customers!A:A,Customers!B:B,"MISSING")</f>
        <v>Arjun Malhotra</v>
      </c>
      <c r="L89" s="1" t="str">
        <f>_xlfn.XLOOKUP(D89,Products!A:A,Products!B:B,"MISSING")</f>
        <v>Laptop</v>
      </c>
    </row>
    <row r="90" spans="1:12">
      <c r="A90" s="1">
        <v>1089</v>
      </c>
      <c r="B90" s="1" t="s">
        <v>237</v>
      </c>
      <c r="C90" s="1" t="s">
        <v>33</v>
      </c>
      <c r="D90" s="1" t="s">
        <v>142</v>
      </c>
      <c r="E90" s="1">
        <v>1</v>
      </c>
      <c r="F90" s="1" t="str">
        <f>_xlfn.XLOOKUP(C90,Customers!A:A,Customers!C:C,"MISSING")</f>
        <v>Ahmedabad</v>
      </c>
      <c r="G90" s="1" t="str">
        <f>_xlfn.XLOOKUP(D90,Products!A:A,Products!C:C,"MISSING")</f>
        <v>Electronics</v>
      </c>
      <c r="H90" s="1">
        <f>_xlfn.XLOOKUP(D90,Products!A:A,Products!D:D,"MISSING")</f>
        <v>15000</v>
      </c>
      <c r="I90" s="1" t="str">
        <f t="shared" si="2"/>
        <v>Apr</v>
      </c>
      <c r="J90" s="1">
        <f t="shared" si="3"/>
        <v>15000</v>
      </c>
      <c r="K90" s="1" t="str">
        <f>_xlfn.XLOOKUP(C90,Customers!A:A,Customers!B:B,"MISSING")</f>
        <v>Priya Kapoor</v>
      </c>
      <c r="L90" s="1" t="str">
        <f>_xlfn.XLOOKUP(D90,Products!A:A,Products!B:B,"MISSING")</f>
        <v>Tablet</v>
      </c>
    </row>
    <row r="91" spans="1:12">
      <c r="A91" s="1">
        <v>1090</v>
      </c>
      <c r="B91" s="1" t="s">
        <v>238</v>
      </c>
      <c r="C91" s="1" t="s">
        <v>75</v>
      </c>
      <c r="D91" s="1" t="s">
        <v>137</v>
      </c>
      <c r="E91" s="1">
        <v>2</v>
      </c>
      <c r="F91" s="1" t="str">
        <f>_xlfn.XLOOKUP(C91,Customers!A:A,Customers!C:C,"MISSING")</f>
        <v>Mumbai</v>
      </c>
      <c r="G91" s="1" t="str">
        <f>_xlfn.XLOOKUP(D91,Products!A:A,Products!C:C,"MISSING")</f>
        <v>Electronics</v>
      </c>
      <c r="H91" s="1">
        <f>_xlfn.XLOOKUP(D91,Products!A:A,Products!D:D,"MISSING")</f>
        <v>50000</v>
      </c>
      <c r="I91" s="1" t="str">
        <f t="shared" si="2"/>
        <v>Oct</v>
      </c>
      <c r="J91" s="1">
        <f t="shared" si="3"/>
        <v>100000</v>
      </c>
      <c r="K91" s="1" t="str">
        <f>_xlfn.XLOOKUP(C91,Customers!A:A,Customers!B:B,"MISSING")</f>
        <v>Sneha Iyer</v>
      </c>
      <c r="L91" s="1" t="str">
        <f>_xlfn.XLOOKUP(D91,Products!A:A,Products!B:B,"MISSING")</f>
        <v>Laptop</v>
      </c>
    </row>
    <row r="92" spans="1:12">
      <c r="A92" s="1">
        <v>1091</v>
      </c>
      <c r="B92" s="1" t="s">
        <v>239</v>
      </c>
      <c r="C92" s="1" t="s">
        <v>100</v>
      </c>
      <c r="D92" s="1" t="s">
        <v>137</v>
      </c>
      <c r="E92" s="1">
        <v>5</v>
      </c>
      <c r="F92" s="1" t="str">
        <f>_xlfn.XLOOKUP(C92,Customers!A:A,Customers!C:C,"MISSING")</f>
        <v>Ahmedabad</v>
      </c>
      <c r="G92" s="1" t="str">
        <f>_xlfn.XLOOKUP(D92,Products!A:A,Products!C:C,"MISSING")</f>
        <v>Electronics</v>
      </c>
      <c r="H92" s="1">
        <f>_xlfn.XLOOKUP(D92,Products!A:A,Products!D:D,"MISSING")</f>
        <v>50000</v>
      </c>
      <c r="I92" s="1" t="str">
        <f t="shared" si="2"/>
        <v>Dec</v>
      </c>
      <c r="J92" s="1">
        <f t="shared" si="3"/>
        <v>250000</v>
      </c>
      <c r="K92" s="1" t="str">
        <f>_xlfn.XLOOKUP(C92,Customers!A:A,Customers!B:B,"MISSING")</f>
        <v>Vikas Nair</v>
      </c>
      <c r="L92" s="1" t="str">
        <f>_xlfn.XLOOKUP(D92,Products!A:A,Products!B:B,"MISSING")</f>
        <v>Laptop</v>
      </c>
    </row>
    <row r="93" spans="1:12">
      <c r="A93" s="1">
        <v>1092</v>
      </c>
      <c r="B93" s="1" t="s">
        <v>240</v>
      </c>
      <c r="C93" s="1" t="s">
        <v>98</v>
      </c>
      <c r="D93" s="1" t="s">
        <v>137</v>
      </c>
      <c r="E93" s="1">
        <v>3</v>
      </c>
      <c r="F93" s="1" t="str">
        <f>_xlfn.XLOOKUP(C93,Customers!A:A,Customers!C:C,"MISSING")</f>
        <v>Bangalore</v>
      </c>
      <c r="G93" s="1" t="str">
        <f>_xlfn.XLOOKUP(D93,Products!A:A,Products!C:C,"MISSING")</f>
        <v>Electronics</v>
      </c>
      <c r="H93" s="1">
        <f>_xlfn.XLOOKUP(D93,Products!A:A,Products!D:D,"MISSING")</f>
        <v>50000</v>
      </c>
      <c r="I93" s="1" t="str">
        <f t="shared" si="2"/>
        <v>Oct</v>
      </c>
      <c r="J93" s="1">
        <f t="shared" si="3"/>
        <v>150000</v>
      </c>
      <c r="K93" s="1" t="str">
        <f>_xlfn.XLOOKUP(C93,Customers!A:A,Customers!B:B,"MISSING")</f>
        <v>Pooja Jain</v>
      </c>
      <c r="L93" s="1" t="str">
        <f>_xlfn.XLOOKUP(D93,Products!A:A,Products!B:B,"MISSING")</f>
        <v>Laptop</v>
      </c>
    </row>
    <row r="94" spans="1:12">
      <c r="A94" s="1">
        <v>1093</v>
      </c>
      <c r="B94" s="1" t="s">
        <v>241</v>
      </c>
      <c r="C94" s="1" t="s">
        <v>103</v>
      </c>
      <c r="D94" s="1" t="s">
        <v>158</v>
      </c>
      <c r="E94" s="1">
        <v>4</v>
      </c>
      <c r="F94" s="1" t="str">
        <f>_xlfn.XLOOKUP(C94,Customers!A:A,Customers!C:C,"MISSING")</f>
        <v>Bangalore</v>
      </c>
      <c r="G94" s="1" t="str">
        <f>_xlfn.XLOOKUP(D94,Products!A:A,Products!C:C,"MISSING")</f>
        <v>Clothing</v>
      </c>
      <c r="H94" s="1">
        <f>_xlfn.XLOOKUP(D94,Products!A:A,Products!D:D,"MISSING")</f>
        <v>3500</v>
      </c>
      <c r="I94" s="1" t="str">
        <f t="shared" si="2"/>
        <v>Jan</v>
      </c>
      <c r="J94" s="1">
        <f t="shared" si="3"/>
        <v>14000</v>
      </c>
      <c r="K94" s="1" t="str">
        <f>_xlfn.XLOOKUP(C94,Customers!A:A,Customers!B:B,"MISSING")</f>
        <v>Neha Singh</v>
      </c>
      <c r="L94" s="1" t="str">
        <f>_xlfn.XLOOKUP(D94,Products!A:A,Products!B:B,"MISSING")</f>
        <v>Shoes</v>
      </c>
    </row>
    <row r="95" spans="1:12">
      <c r="A95" s="1">
        <v>1094</v>
      </c>
      <c r="B95" s="1" t="s">
        <v>242</v>
      </c>
      <c r="C95" s="1" t="s">
        <v>34</v>
      </c>
      <c r="D95" s="1" t="s">
        <v>142</v>
      </c>
      <c r="E95" s="1">
        <v>1</v>
      </c>
      <c r="F95" s="1" t="str">
        <f>_xlfn.XLOOKUP(C95,Customers!A:A,Customers!C:C,"MISSING")</f>
        <v>Kolkata</v>
      </c>
      <c r="G95" s="1" t="str">
        <f>_xlfn.XLOOKUP(D95,Products!A:A,Products!C:C,"MISSING")</f>
        <v>Electronics</v>
      </c>
      <c r="H95" s="1">
        <f>_xlfn.XLOOKUP(D95,Products!A:A,Products!D:D,"MISSING")</f>
        <v>15000</v>
      </c>
      <c r="I95" s="1" t="str">
        <f t="shared" si="2"/>
        <v>Jan</v>
      </c>
      <c r="J95" s="1">
        <f t="shared" si="3"/>
        <v>15000</v>
      </c>
      <c r="K95" s="1" t="str">
        <f>_xlfn.XLOOKUP(C95,Customers!A:A,Customers!B:B,"MISSING")</f>
        <v>Manav Arora</v>
      </c>
      <c r="L95" s="1" t="str">
        <f>_xlfn.XLOOKUP(D95,Products!A:A,Products!B:B,"MISSING")</f>
        <v>Tablet</v>
      </c>
    </row>
    <row r="96" spans="1:12">
      <c r="A96" s="1">
        <v>1095</v>
      </c>
      <c r="B96" s="1" t="s">
        <v>243</v>
      </c>
      <c r="C96" s="1" t="s">
        <v>70</v>
      </c>
      <c r="D96" s="1" t="s">
        <v>144</v>
      </c>
      <c r="E96" s="1">
        <v>5</v>
      </c>
      <c r="F96" s="1" t="str">
        <f>_xlfn.XLOOKUP(C96,Customers!A:A,Customers!C:C,"MISSING")</f>
        <v>Delhi</v>
      </c>
      <c r="G96" s="1" t="str">
        <f>_xlfn.XLOOKUP(D96,Products!A:A,Products!C:C,"MISSING")</f>
        <v>Furniture</v>
      </c>
      <c r="H96" s="1">
        <f>_xlfn.XLOOKUP(D96,Products!A:A,Products!D:D,"MISSING")</f>
        <v>3000</v>
      </c>
      <c r="I96" s="1" t="str">
        <f t="shared" si="2"/>
        <v>Jul</v>
      </c>
      <c r="J96" s="1">
        <f t="shared" si="3"/>
        <v>15000</v>
      </c>
      <c r="K96" s="1" t="str">
        <f>_xlfn.XLOOKUP(C96,Customers!A:A,Customers!B:B,"MISSING")</f>
        <v>Amit Verma</v>
      </c>
      <c r="L96" s="1" t="str">
        <f>_xlfn.XLOOKUP(D96,Products!A:A,Products!B:B,"MISSING")</f>
        <v>Chair</v>
      </c>
    </row>
    <row r="97" spans="1:12">
      <c r="A97" s="1">
        <v>1096</v>
      </c>
      <c r="B97" s="1" t="s">
        <v>244</v>
      </c>
      <c r="C97" s="1" t="s">
        <v>104</v>
      </c>
      <c r="D97" s="1" t="s">
        <v>149</v>
      </c>
      <c r="E97" s="1">
        <v>1</v>
      </c>
      <c r="F97" s="1" t="str">
        <f>_xlfn.XLOOKUP(C97,Customers!A:A,Customers!C:C,"MISSING")</f>
        <v>Ahmedabad</v>
      </c>
      <c r="G97" s="1" t="str">
        <f>_xlfn.XLOOKUP(D97,Products!A:A,Products!C:C,"MISSING")</f>
        <v>Furniture</v>
      </c>
      <c r="H97" s="1">
        <f>_xlfn.XLOOKUP(D97,Products!A:A,Products!D:D,"MISSING")</f>
        <v>25000</v>
      </c>
      <c r="I97" s="1" t="str">
        <f t="shared" si="2"/>
        <v>Nov</v>
      </c>
      <c r="J97" s="1">
        <f t="shared" si="3"/>
        <v>25000</v>
      </c>
      <c r="K97" s="1" t="str">
        <f>_xlfn.XLOOKUP(C97,Customers!A:A,Customers!B:B,"MISSING")</f>
        <v>Amit Verma</v>
      </c>
      <c r="L97" s="1" t="str">
        <f>_xlfn.XLOOKUP(D97,Products!A:A,Products!B:B,"MISSING")</f>
        <v>Sofa</v>
      </c>
    </row>
    <row r="98" spans="1:12">
      <c r="A98" s="1">
        <v>1097</v>
      </c>
      <c r="B98" s="1" t="s">
        <v>245</v>
      </c>
      <c r="C98" s="1" t="s">
        <v>120</v>
      </c>
      <c r="D98" s="1" t="s">
        <v>154</v>
      </c>
      <c r="E98" s="1">
        <v>2</v>
      </c>
      <c r="F98" s="1" t="str">
        <f>_xlfn.XLOOKUP(C98,Customers!A:A,Customers!C:C,"MISSING")</f>
        <v>Chennai</v>
      </c>
      <c r="G98" s="1" t="str">
        <f>_xlfn.XLOOKUP(D98,Products!A:A,Products!C:C,"MISSING")</f>
        <v>Clothing</v>
      </c>
      <c r="H98" s="1">
        <f>_xlfn.XLOOKUP(D98,Products!A:A,Products!D:D,"MISSING")</f>
        <v>2500</v>
      </c>
      <c r="I98" s="1" t="str">
        <f t="shared" si="2"/>
        <v>Oct</v>
      </c>
      <c r="J98" s="1">
        <f t="shared" si="3"/>
        <v>5000</v>
      </c>
      <c r="K98" s="1" t="str">
        <f>_xlfn.XLOOKUP(C98,Customers!A:A,Customers!B:B,"MISSING")</f>
        <v>Arjun Malhotra</v>
      </c>
      <c r="L98" s="1" t="str">
        <f>_xlfn.XLOOKUP(D98,Products!A:A,Products!B:B,"MISSING")</f>
        <v>Jeans</v>
      </c>
    </row>
    <row r="99" spans="1:12">
      <c r="A99" s="1">
        <v>1098</v>
      </c>
      <c r="B99" s="1" t="s">
        <v>246</v>
      </c>
      <c r="C99" s="1" t="s">
        <v>91</v>
      </c>
      <c r="D99" s="1" t="s">
        <v>137</v>
      </c>
      <c r="E99" s="1">
        <v>4</v>
      </c>
      <c r="F99" s="1" t="str">
        <f>_xlfn.XLOOKUP(C99,Customers!A:A,Customers!C:C,"MISSING")</f>
        <v>Jaipur</v>
      </c>
      <c r="G99" s="1" t="str">
        <f>_xlfn.XLOOKUP(D99,Products!A:A,Products!C:C,"MISSING")</f>
        <v>Electronics</v>
      </c>
      <c r="H99" s="1">
        <f>_xlfn.XLOOKUP(D99,Products!A:A,Products!D:D,"MISSING")</f>
        <v>50000</v>
      </c>
      <c r="I99" s="1" t="str">
        <f t="shared" si="2"/>
        <v>May</v>
      </c>
      <c r="J99" s="1">
        <f t="shared" si="3"/>
        <v>200000</v>
      </c>
      <c r="K99" s="1" t="str">
        <f>_xlfn.XLOOKUP(C99,Customers!A:A,Customers!B:B,"MISSING")</f>
        <v>Karan Mehta</v>
      </c>
      <c r="L99" s="1" t="str">
        <f>_xlfn.XLOOKUP(D99,Products!A:A,Products!B:B,"MISSING")</f>
        <v>Laptop</v>
      </c>
    </row>
    <row r="100" spans="1:12">
      <c r="A100" s="1">
        <v>1099</v>
      </c>
      <c r="B100" s="1" t="s">
        <v>247</v>
      </c>
      <c r="C100" s="1" t="s">
        <v>66</v>
      </c>
      <c r="D100" s="1" t="s">
        <v>137</v>
      </c>
      <c r="E100" s="1">
        <v>4</v>
      </c>
      <c r="F100" s="1" t="str">
        <f>_xlfn.XLOOKUP(C100,Customers!A:A,Customers!C:C,"MISSING")</f>
        <v>Ahmedabad</v>
      </c>
      <c r="G100" s="1" t="str">
        <f>_xlfn.XLOOKUP(D100,Products!A:A,Products!C:C,"MISSING")</f>
        <v>Electronics</v>
      </c>
      <c r="H100" s="1">
        <f>_xlfn.XLOOKUP(D100,Products!A:A,Products!D:D,"MISSING")</f>
        <v>50000</v>
      </c>
      <c r="I100" s="1" t="str">
        <f t="shared" si="2"/>
        <v>Mar</v>
      </c>
      <c r="J100" s="1">
        <f t="shared" si="3"/>
        <v>200000</v>
      </c>
      <c r="K100" s="1" t="str">
        <f>_xlfn.XLOOKUP(C100,Customers!A:A,Customers!B:B,"MISSING")</f>
        <v>Sejal Shah</v>
      </c>
      <c r="L100" s="1" t="str">
        <f>_xlfn.XLOOKUP(D100,Products!A:A,Products!B:B,"MISSING")</f>
        <v>Laptop</v>
      </c>
    </row>
    <row r="101" spans="1:12">
      <c r="A101" s="1">
        <v>1100</v>
      </c>
      <c r="B101" s="1" t="s">
        <v>248</v>
      </c>
      <c r="C101" s="1" t="s">
        <v>127</v>
      </c>
      <c r="D101" s="1" t="s">
        <v>142</v>
      </c>
      <c r="E101" s="1">
        <v>3</v>
      </c>
      <c r="F101" s="1" t="str">
        <f>_xlfn.XLOOKUP(C101,Customers!A:A,Customers!C:C,"MISSING")</f>
        <v>Pune</v>
      </c>
      <c r="G101" s="1" t="str">
        <f>_xlfn.XLOOKUP(D101,Products!A:A,Products!C:C,"MISSING")</f>
        <v>Electronics</v>
      </c>
      <c r="H101" s="1">
        <f>_xlfn.XLOOKUP(D101,Products!A:A,Products!D:D,"MISSING")</f>
        <v>15000</v>
      </c>
      <c r="I101" s="1" t="str">
        <f t="shared" si="2"/>
        <v>Dec</v>
      </c>
      <c r="J101" s="1">
        <f t="shared" si="3"/>
        <v>45000</v>
      </c>
      <c r="K101" s="1" t="str">
        <f>_xlfn.XLOOKUP(C101,Customers!A:A,Customers!B:B,"MISSING")</f>
        <v>Ravi Patel</v>
      </c>
      <c r="L101" s="1" t="str">
        <f>_xlfn.XLOOKUP(D101,Products!A:A,Products!B:B,"MISSING")</f>
        <v>Tablet</v>
      </c>
    </row>
    <row r="102" spans="1:12">
      <c r="A102" s="1">
        <v>1101</v>
      </c>
      <c r="B102" s="1" t="s">
        <v>249</v>
      </c>
      <c r="C102" s="1" t="s">
        <v>19</v>
      </c>
      <c r="D102" s="1" t="s">
        <v>147</v>
      </c>
      <c r="E102" s="1">
        <v>1</v>
      </c>
      <c r="F102" s="1" t="str">
        <f>_xlfn.XLOOKUP(C102,Customers!A:A,Customers!C:C,"MISSING")</f>
        <v>Hyderabad</v>
      </c>
      <c r="G102" s="1" t="str">
        <f>_xlfn.XLOOKUP(D102,Products!A:A,Products!C:C,"MISSING")</f>
        <v>Furniture</v>
      </c>
      <c r="H102" s="1">
        <f>_xlfn.XLOOKUP(D102,Products!A:A,Products!D:D,"MISSING")</f>
        <v>7000</v>
      </c>
      <c r="I102" s="1" t="str">
        <f t="shared" si="2"/>
        <v>Jan</v>
      </c>
      <c r="J102" s="1">
        <f t="shared" si="3"/>
        <v>7000</v>
      </c>
      <c r="K102" s="1" t="str">
        <f>_xlfn.XLOOKUP(C102,Customers!A:A,Customers!B:B,"MISSING")</f>
        <v>Pooja Jain</v>
      </c>
      <c r="L102" s="1" t="str">
        <f>_xlfn.XLOOKUP(D102,Products!A:A,Products!B:B,"MISSING")</f>
        <v>Table</v>
      </c>
    </row>
    <row r="103" spans="1:12">
      <c r="A103" s="1">
        <v>1102</v>
      </c>
      <c r="B103" s="1" t="s">
        <v>203</v>
      </c>
      <c r="C103" s="1" t="s">
        <v>19</v>
      </c>
      <c r="D103" s="1" t="s">
        <v>149</v>
      </c>
      <c r="E103" s="1">
        <v>5</v>
      </c>
      <c r="F103" s="1" t="str">
        <f>_xlfn.XLOOKUP(C103,Customers!A:A,Customers!C:C,"MISSING")</f>
        <v>Hyderabad</v>
      </c>
      <c r="G103" s="1" t="str">
        <f>_xlfn.XLOOKUP(D103,Products!A:A,Products!C:C,"MISSING")</f>
        <v>Furniture</v>
      </c>
      <c r="H103" s="1">
        <f>_xlfn.XLOOKUP(D103,Products!A:A,Products!D:D,"MISSING")</f>
        <v>25000</v>
      </c>
      <c r="I103" s="1" t="str">
        <f t="shared" si="2"/>
        <v>Jun</v>
      </c>
      <c r="J103" s="1">
        <f t="shared" si="3"/>
        <v>125000</v>
      </c>
      <c r="K103" s="1" t="str">
        <f>_xlfn.XLOOKUP(C103,Customers!A:A,Customers!B:B,"MISSING")</f>
        <v>Pooja Jain</v>
      </c>
      <c r="L103" s="1" t="str">
        <f>_xlfn.XLOOKUP(D103,Products!A:A,Products!B:B,"MISSING")</f>
        <v>Sofa</v>
      </c>
    </row>
    <row r="104" spans="1:12">
      <c r="A104" s="1">
        <v>1103</v>
      </c>
      <c r="B104" s="1" t="s">
        <v>250</v>
      </c>
      <c r="C104" s="1" t="s">
        <v>83</v>
      </c>
      <c r="D104" s="1" t="s">
        <v>149</v>
      </c>
      <c r="E104" s="1">
        <v>3</v>
      </c>
      <c r="F104" s="1" t="str">
        <f>_xlfn.XLOOKUP(C104,Customers!A:A,Customers!C:C,"MISSING")</f>
        <v>Bangalore</v>
      </c>
      <c r="G104" s="1" t="str">
        <f>_xlfn.XLOOKUP(D104,Products!A:A,Products!C:C,"MISSING")</f>
        <v>Furniture</v>
      </c>
      <c r="H104" s="1">
        <f>_xlfn.XLOOKUP(D104,Products!A:A,Products!D:D,"MISSING")</f>
        <v>25000</v>
      </c>
      <c r="I104" s="1" t="str">
        <f t="shared" si="2"/>
        <v>Oct</v>
      </c>
      <c r="J104" s="1">
        <f t="shared" si="3"/>
        <v>75000</v>
      </c>
      <c r="K104" s="1" t="str">
        <f>_xlfn.XLOOKUP(C104,Customers!A:A,Customers!B:B,"MISSING")</f>
        <v>Priya Kapoor</v>
      </c>
      <c r="L104" s="1" t="str">
        <f>_xlfn.XLOOKUP(D104,Products!A:A,Products!B:B,"MISSING")</f>
        <v>Sofa</v>
      </c>
    </row>
    <row r="105" spans="1:12">
      <c r="A105" s="1">
        <v>1104</v>
      </c>
      <c r="B105" s="1" t="s">
        <v>251</v>
      </c>
      <c r="C105" s="1" t="s">
        <v>53</v>
      </c>
      <c r="D105" s="1" t="s">
        <v>149</v>
      </c>
      <c r="E105" s="1">
        <v>3</v>
      </c>
      <c r="F105" s="1" t="str">
        <f>_xlfn.XLOOKUP(C105,Customers!A:A,Customers!C:C,"MISSING")</f>
        <v>Chennai</v>
      </c>
      <c r="G105" s="1" t="str">
        <f>_xlfn.XLOOKUP(D105,Products!A:A,Products!C:C,"MISSING")</f>
        <v>Furniture</v>
      </c>
      <c r="H105" s="1">
        <f>_xlfn.XLOOKUP(D105,Products!A:A,Products!D:D,"MISSING")</f>
        <v>25000</v>
      </c>
      <c r="I105" s="1" t="str">
        <f t="shared" si="2"/>
        <v>May</v>
      </c>
      <c r="J105" s="1">
        <f t="shared" si="3"/>
        <v>75000</v>
      </c>
      <c r="K105" s="1" t="str">
        <f>_xlfn.XLOOKUP(C105,Customers!A:A,Customers!B:B,"MISSING")</f>
        <v>Sneha Iyer</v>
      </c>
      <c r="L105" s="1" t="str">
        <f>_xlfn.XLOOKUP(D105,Products!A:A,Products!B:B,"MISSING")</f>
        <v>Sofa</v>
      </c>
    </row>
    <row r="106" spans="1:12">
      <c r="A106" s="1">
        <v>1105</v>
      </c>
      <c r="B106" s="1" t="s">
        <v>252</v>
      </c>
      <c r="C106" s="1" t="s">
        <v>34</v>
      </c>
      <c r="D106" s="1" t="s">
        <v>144</v>
      </c>
      <c r="E106" s="1">
        <v>2</v>
      </c>
      <c r="F106" s="1" t="str">
        <f>_xlfn.XLOOKUP(C106,Customers!A:A,Customers!C:C,"MISSING")</f>
        <v>Kolkata</v>
      </c>
      <c r="G106" s="1" t="str">
        <f>_xlfn.XLOOKUP(D106,Products!A:A,Products!C:C,"MISSING")</f>
        <v>Furniture</v>
      </c>
      <c r="H106" s="1">
        <f>_xlfn.XLOOKUP(D106,Products!A:A,Products!D:D,"MISSING")</f>
        <v>3000</v>
      </c>
      <c r="I106" s="1" t="str">
        <f t="shared" si="2"/>
        <v>Sep</v>
      </c>
      <c r="J106" s="1">
        <f t="shared" si="3"/>
        <v>6000</v>
      </c>
      <c r="K106" s="1" t="str">
        <f>_xlfn.XLOOKUP(C106,Customers!A:A,Customers!B:B,"MISSING")</f>
        <v>Manav Arora</v>
      </c>
      <c r="L106" s="1" t="str">
        <f>_xlfn.XLOOKUP(D106,Products!A:A,Products!B:B,"MISSING")</f>
        <v>Chair</v>
      </c>
    </row>
    <row r="107" spans="1:12">
      <c r="A107" s="1">
        <v>1106</v>
      </c>
      <c r="B107" s="1" t="s">
        <v>253</v>
      </c>
      <c r="C107" s="1" t="s">
        <v>89</v>
      </c>
      <c r="D107" s="1" t="s">
        <v>158</v>
      </c>
      <c r="E107" s="1">
        <v>3</v>
      </c>
      <c r="F107" s="1" t="str">
        <f>_xlfn.XLOOKUP(C107,Customers!A:A,Customers!C:C,"MISSING")</f>
        <v>Bangalore</v>
      </c>
      <c r="G107" s="1" t="str">
        <f>_xlfn.XLOOKUP(D107,Products!A:A,Products!C:C,"MISSING")</f>
        <v>Clothing</v>
      </c>
      <c r="H107" s="1">
        <f>_xlfn.XLOOKUP(D107,Products!A:A,Products!D:D,"MISSING")</f>
        <v>3500</v>
      </c>
      <c r="I107" s="1" t="str">
        <f t="shared" si="2"/>
        <v>Jan</v>
      </c>
      <c r="J107" s="1">
        <f t="shared" si="3"/>
        <v>10500</v>
      </c>
      <c r="K107" s="1" t="str">
        <f>_xlfn.XLOOKUP(C107,Customers!A:A,Customers!B:B,"MISSING")</f>
        <v>Priya Kapoor</v>
      </c>
      <c r="L107" s="1" t="str">
        <f>_xlfn.XLOOKUP(D107,Products!A:A,Products!B:B,"MISSING")</f>
        <v>Shoes</v>
      </c>
    </row>
    <row r="108" spans="1:12">
      <c r="A108" s="1">
        <v>1107</v>
      </c>
      <c r="B108" s="1" t="s">
        <v>254</v>
      </c>
      <c r="C108" s="1" t="s">
        <v>105</v>
      </c>
      <c r="D108" s="1" t="s">
        <v>142</v>
      </c>
      <c r="E108" s="1">
        <v>2</v>
      </c>
      <c r="F108" s="1" t="str">
        <f>_xlfn.XLOOKUP(C108,Customers!A:A,Customers!C:C,"MISSING")</f>
        <v>Bangalore</v>
      </c>
      <c r="G108" s="1" t="str">
        <f>_xlfn.XLOOKUP(D108,Products!A:A,Products!C:C,"MISSING")</f>
        <v>Electronics</v>
      </c>
      <c r="H108" s="1">
        <f>_xlfn.XLOOKUP(D108,Products!A:A,Products!D:D,"MISSING")</f>
        <v>15000</v>
      </c>
      <c r="I108" s="1" t="str">
        <f t="shared" si="2"/>
        <v>Jul</v>
      </c>
      <c r="J108" s="1">
        <f t="shared" si="3"/>
        <v>30000</v>
      </c>
      <c r="K108" s="1" t="str">
        <f>_xlfn.XLOOKUP(C108,Customers!A:A,Customers!B:B,"MISSING")</f>
        <v>Meera Kulkarni</v>
      </c>
      <c r="L108" s="1" t="str">
        <f>_xlfn.XLOOKUP(D108,Products!A:A,Products!B:B,"MISSING")</f>
        <v>Tablet</v>
      </c>
    </row>
    <row r="109" spans="1:12">
      <c r="A109" s="1">
        <v>1108</v>
      </c>
      <c r="B109" s="1" t="s">
        <v>255</v>
      </c>
      <c r="C109" s="1" t="s">
        <v>91</v>
      </c>
      <c r="D109" s="1" t="s">
        <v>144</v>
      </c>
      <c r="E109" s="1">
        <v>5</v>
      </c>
      <c r="F109" s="1" t="str">
        <f>_xlfn.XLOOKUP(C109,Customers!A:A,Customers!C:C,"MISSING")</f>
        <v>Jaipur</v>
      </c>
      <c r="G109" s="1" t="str">
        <f>_xlfn.XLOOKUP(D109,Products!A:A,Products!C:C,"MISSING")</f>
        <v>Furniture</v>
      </c>
      <c r="H109" s="1">
        <f>_xlfn.XLOOKUP(D109,Products!A:A,Products!D:D,"MISSING")</f>
        <v>3000</v>
      </c>
      <c r="I109" s="1" t="str">
        <f t="shared" si="2"/>
        <v>Sep</v>
      </c>
      <c r="J109" s="1">
        <f t="shared" si="3"/>
        <v>15000</v>
      </c>
      <c r="K109" s="1" t="str">
        <f>_xlfn.XLOOKUP(C109,Customers!A:A,Customers!B:B,"MISSING")</f>
        <v>Karan Mehta</v>
      </c>
      <c r="L109" s="1" t="str">
        <f>_xlfn.XLOOKUP(D109,Products!A:A,Products!B:B,"MISSING")</f>
        <v>Chair</v>
      </c>
    </row>
    <row r="110" spans="1:12">
      <c r="A110" s="1">
        <v>1109</v>
      </c>
      <c r="B110" s="1" t="s">
        <v>256</v>
      </c>
      <c r="C110" s="1" t="s">
        <v>116</v>
      </c>
      <c r="D110" s="1" t="s">
        <v>147</v>
      </c>
      <c r="E110" s="1">
        <v>4</v>
      </c>
      <c r="F110" s="1" t="str">
        <f>_xlfn.XLOOKUP(C110,Customers!A:A,Customers!C:C,"MISSING")</f>
        <v>Kolkata</v>
      </c>
      <c r="G110" s="1" t="str">
        <f>_xlfn.XLOOKUP(D110,Products!A:A,Products!C:C,"MISSING")</f>
        <v>Furniture</v>
      </c>
      <c r="H110" s="1">
        <f>_xlfn.XLOOKUP(D110,Products!A:A,Products!D:D,"MISSING")</f>
        <v>7000</v>
      </c>
      <c r="I110" s="1" t="str">
        <f t="shared" si="2"/>
        <v>Feb</v>
      </c>
      <c r="J110" s="1">
        <f t="shared" si="3"/>
        <v>28000</v>
      </c>
      <c r="K110" s="1" t="str">
        <f>_xlfn.XLOOKUP(C110,Customers!A:A,Customers!B:B,"MISSING")</f>
        <v>Tanya Sethi</v>
      </c>
      <c r="L110" s="1" t="str">
        <f>_xlfn.XLOOKUP(D110,Products!A:A,Products!B:B,"MISSING")</f>
        <v>Table</v>
      </c>
    </row>
    <row r="111" spans="1:12">
      <c r="A111" s="1">
        <v>1110</v>
      </c>
      <c r="B111" s="1" t="s">
        <v>257</v>
      </c>
      <c r="C111" s="1" t="s">
        <v>130</v>
      </c>
      <c r="D111" s="1" t="s">
        <v>142</v>
      </c>
      <c r="E111" s="1">
        <v>1</v>
      </c>
      <c r="F111" s="1" t="str">
        <f>_xlfn.XLOOKUP(C111,Customers!A:A,Customers!C:C,"MISSING")</f>
        <v>Mumbai</v>
      </c>
      <c r="G111" s="1" t="str">
        <f>_xlfn.XLOOKUP(D111,Products!A:A,Products!C:C,"MISSING")</f>
        <v>Electronics</v>
      </c>
      <c r="H111" s="1">
        <f>_xlfn.XLOOKUP(D111,Products!A:A,Products!D:D,"MISSING")</f>
        <v>15000</v>
      </c>
      <c r="I111" s="1" t="str">
        <f t="shared" si="2"/>
        <v>Jul</v>
      </c>
      <c r="J111" s="1">
        <f t="shared" si="3"/>
        <v>15000</v>
      </c>
      <c r="K111" s="1" t="str">
        <f>_xlfn.XLOOKUP(C111,Customers!A:A,Customers!B:B,"MISSING")</f>
        <v>Karan Mehta</v>
      </c>
      <c r="L111" s="1" t="str">
        <f>_xlfn.XLOOKUP(D111,Products!A:A,Products!B:B,"MISSING")</f>
        <v>Tablet</v>
      </c>
    </row>
    <row r="112" spans="1:12">
      <c r="A112" s="1">
        <v>1111</v>
      </c>
      <c r="B112" s="1" t="s">
        <v>258</v>
      </c>
      <c r="C112" s="1" t="s">
        <v>102</v>
      </c>
      <c r="D112" s="1" t="s">
        <v>140</v>
      </c>
      <c r="E112" s="1">
        <v>1</v>
      </c>
      <c r="F112" s="1" t="str">
        <f>_xlfn.XLOOKUP(C112,Customers!A:A,Customers!C:C,"MISSING")</f>
        <v>Lucknow</v>
      </c>
      <c r="G112" s="1" t="str">
        <f>_xlfn.XLOOKUP(D112,Products!A:A,Products!C:C,"MISSING")</f>
        <v>Electronics</v>
      </c>
      <c r="H112" s="1">
        <f>_xlfn.XLOOKUP(D112,Products!A:A,Products!D:D,"MISSING")</f>
        <v>20000</v>
      </c>
      <c r="I112" s="1" t="str">
        <f t="shared" si="2"/>
        <v>Jul</v>
      </c>
      <c r="J112" s="1">
        <f t="shared" si="3"/>
        <v>20000</v>
      </c>
      <c r="K112" s="1" t="str">
        <f>_xlfn.XLOOKUP(C112,Customers!A:A,Customers!B:B,"MISSING")</f>
        <v>Manav Arora</v>
      </c>
      <c r="L112" s="1" t="str">
        <f>_xlfn.XLOOKUP(D112,Products!A:A,Products!B:B,"MISSING")</f>
        <v>Mobile</v>
      </c>
    </row>
    <row r="113" spans="1:12">
      <c r="A113" s="1">
        <v>1112</v>
      </c>
      <c r="B113" s="1" t="s">
        <v>259</v>
      </c>
      <c r="C113" s="1" t="s">
        <v>112</v>
      </c>
      <c r="D113" s="1" t="s">
        <v>154</v>
      </c>
      <c r="E113" s="1">
        <v>5</v>
      </c>
      <c r="F113" s="1" t="str">
        <f>_xlfn.XLOOKUP(C113,Customers!A:A,Customers!C:C,"MISSING")</f>
        <v>Lucknow</v>
      </c>
      <c r="G113" s="1" t="str">
        <f>_xlfn.XLOOKUP(D113,Products!A:A,Products!C:C,"MISSING")</f>
        <v>Clothing</v>
      </c>
      <c r="H113" s="1">
        <f>_xlfn.XLOOKUP(D113,Products!A:A,Products!D:D,"MISSING")</f>
        <v>2500</v>
      </c>
      <c r="I113" s="1" t="str">
        <f t="shared" si="2"/>
        <v>Jul</v>
      </c>
      <c r="J113" s="1">
        <f t="shared" si="3"/>
        <v>12500</v>
      </c>
      <c r="K113" s="1" t="str">
        <f>_xlfn.XLOOKUP(C113,Customers!A:A,Customers!B:B,"MISSING")</f>
        <v>Manav Arora</v>
      </c>
      <c r="L113" s="1" t="str">
        <f>_xlfn.XLOOKUP(D113,Products!A:A,Products!B:B,"MISSING")</f>
        <v>Jeans</v>
      </c>
    </row>
    <row r="114" spans="1:12">
      <c r="A114" s="1">
        <v>1113</v>
      </c>
      <c r="B114" s="1" t="s">
        <v>257</v>
      </c>
      <c r="C114" s="1" t="s">
        <v>127</v>
      </c>
      <c r="D114" s="1" t="s">
        <v>158</v>
      </c>
      <c r="E114" s="1">
        <v>1</v>
      </c>
      <c r="F114" s="1" t="str">
        <f>_xlfn.XLOOKUP(C114,Customers!A:A,Customers!C:C,"MISSING")</f>
        <v>Pune</v>
      </c>
      <c r="G114" s="1" t="str">
        <f>_xlfn.XLOOKUP(D114,Products!A:A,Products!C:C,"MISSING")</f>
        <v>Clothing</v>
      </c>
      <c r="H114" s="1">
        <f>_xlfn.XLOOKUP(D114,Products!A:A,Products!D:D,"MISSING")</f>
        <v>3500</v>
      </c>
      <c r="I114" s="1" t="str">
        <f t="shared" si="2"/>
        <v>Jul</v>
      </c>
      <c r="J114" s="1">
        <f t="shared" si="3"/>
        <v>3500</v>
      </c>
      <c r="K114" s="1" t="str">
        <f>_xlfn.XLOOKUP(C114,Customers!A:A,Customers!B:B,"MISSING")</f>
        <v>Ravi Patel</v>
      </c>
      <c r="L114" s="1" t="str">
        <f>_xlfn.XLOOKUP(D114,Products!A:A,Products!B:B,"MISSING")</f>
        <v>Shoes</v>
      </c>
    </row>
    <row r="115" spans="1:12">
      <c r="A115" s="1">
        <v>1114</v>
      </c>
      <c r="B115" s="1" t="s">
        <v>260</v>
      </c>
      <c r="C115" s="1" t="s">
        <v>103</v>
      </c>
      <c r="D115" s="1" t="s">
        <v>144</v>
      </c>
      <c r="E115" s="1">
        <v>2</v>
      </c>
      <c r="F115" s="1" t="str">
        <f>_xlfn.XLOOKUP(C115,Customers!A:A,Customers!C:C,"MISSING")</f>
        <v>Bangalore</v>
      </c>
      <c r="G115" s="1" t="str">
        <f>_xlfn.XLOOKUP(D115,Products!A:A,Products!C:C,"MISSING")</f>
        <v>Furniture</v>
      </c>
      <c r="H115" s="1">
        <f>_xlfn.XLOOKUP(D115,Products!A:A,Products!D:D,"MISSING")</f>
        <v>3000</v>
      </c>
      <c r="I115" s="1" t="str">
        <f t="shared" si="2"/>
        <v>Mar</v>
      </c>
      <c r="J115" s="1">
        <f t="shared" si="3"/>
        <v>6000</v>
      </c>
      <c r="K115" s="1" t="str">
        <f>_xlfn.XLOOKUP(C115,Customers!A:A,Customers!B:B,"MISSING")</f>
        <v>Neha Singh</v>
      </c>
      <c r="L115" s="1" t="str">
        <f>_xlfn.XLOOKUP(D115,Products!A:A,Products!B:B,"MISSING")</f>
        <v>Chair</v>
      </c>
    </row>
    <row r="116" spans="1:12">
      <c r="A116" s="1">
        <v>1115</v>
      </c>
      <c r="B116" s="1" t="s">
        <v>261</v>
      </c>
      <c r="C116" s="1" t="s">
        <v>56</v>
      </c>
      <c r="D116" s="1" t="s">
        <v>140</v>
      </c>
      <c r="E116" s="1">
        <v>4</v>
      </c>
      <c r="F116" s="1" t="str">
        <f>_xlfn.XLOOKUP(C116,Customers!A:A,Customers!C:C,"MISSING")</f>
        <v>Bangalore</v>
      </c>
      <c r="G116" s="1" t="str">
        <f>_xlfn.XLOOKUP(D116,Products!A:A,Products!C:C,"MISSING")</f>
        <v>Electronics</v>
      </c>
      <c r="H116" s="1">
        <f>_xlfn.XLOOKUP(D116,Products!A:A,Products!D:D,"MISSING")</f>
        <v>20000</v>
      </c>
      <c r="I116" s="1" t="str">
        <f t="shared" si="2"/>
        <v>Jul</v>
      </c>
      <c r="J116" s="1">
        <f t="shared" si="3"/>
        <v>80000</v>
      </c>
      <c r="K116" s="1" t="str">
        <f>_xlfn.XLOOKUP(C116,Customers!A:A,Customers!B:B,"MISSING")</f>
        <v>Karan Mehta</v>
      </c>
      <c r="L116" s="1" t="str">
        <f>_xlfn.XLOOKUP(D116,Products!A:A,Products!B:B,"MISSING")</f>
        <v>Mobile</v>
      </c>
    </row>
    <row r="117" spans="1:12">
      <c r="A117" s="1">
        <v>1116</v>
      </c>
      <c r="B117" s="1" t="s">
        <v>172</v>
      </c>
      <c r="C117" s="1" t="s">
        <v>73</v>
      </c>
      <c r="D117" s="1" t="s">
        <v>144</v>
      </c>
      <c r="E117" s="1">
        <v>4</v>
      </c>
      <c r="F117" s="1" t="str">
        <f>_xlfn.XLOOKUP(C117,Customers!A:A,Customers!C:C,"MISSING")</f>
        <v>Pune</v>
      </c>
      <c r="G117" s="1" t="str">
        <f>_xlfn.XLOOKUP(D117,Products!A:A,Products!C:C,"MISSING")</f>
        <v>Furniture</v>
      </c>
      <c r="H117" s="1">
        <f>_xlfn.XLOOKUP(D117,Products!A:A,Products!D:D,"MISSING")</f>
        <v>3000</v>
      </c>
      <c r="I117" s="1" t="str">
        <f t="shared" si="2"/>
        <v>Aug</v>
      </c>
      <c r="J117" s="1">
        <f t="shared" si="3"/>
        <v>12000</v>
      </c>
      <c r="K117" s="1" t="str">
        <f>_xlfn.XLOOKUP(C117,Customers!A:A,Customers!B:B,"MISSING")</f>
        <v>Rahul Sharma</v>
      </c>
      <c r="L117" s="1" t="str">
        <f>_xlfn.XLOOKUP(D117,Products!A:A,Products!B:B,"MISSING")</f>
        <v>Chair</v>
      </c>
    </row>
    <row r="118" spans="1:12">
      <c r="A118" s="1">
        <v>1117</v>
      </c>
      <c r="B118" s="1" t="s">
        <v>262</v>
      </c>
      <c r="C118" s="1" t="s">
        <v>68</v>
      </c>
      <c r="D118" s="1" t="s">
        <v>151</v>
      </c>
      <c r="E118" s="1">
        <v>4</v>
      </c>
      <c r="F118" s="1" t="str">
        <f>_xlfn.XLOOKUP(C118,Customers!A:A,Customers!C:C,"MISSING")</f>
        <v>Pune</v>
      </c>
      <c r="G118" s="1" t="str">
        <f>_xlfn.XLOOKUP(D118,Products!A:A,Products!C:C,"MISSING")</f>
        <v>Clothing</v>
      </c>
      <c r="H118" s="1">
        <f>_xlfn.XLOOKUP(D118,Products!A:A,Products!D:D,"MISSING")</f>
        <v>1500</v>
      </c>
      <c r="I118" s="1" t="str">
        <f t="shared" si="2"/>
        <v>Jun</v>
      </c>
      <c r="J118" s="1">
        <f t="shared" si="3"/>
        <v>6000</v>
      </c>
      <c r="K118" s="1" t="str">
        <f>_xlfn.XLOOKUP(C118,Customers!A:A,Customers!B:B,"MISSING")</f>
        <v>Arjun Malhotra</v>
      </c>
      <c r="L118" s="1" t="str">
        <f>_xlfn.XLOOKUP(D118,Products!A:A,Products!B:B,"MISSING")</f>
        <v>T-Shirt</v>
      </c>
    </row>
    <row r="119" spans="1:12">
      <c r="A119" s="1">
        <v>1118</v>
      </c>
      <c r="B119" s="1" t="s">
        <v>263</v>
      </c>
      <c r="C119" s="1" t="s">
        <v>86</v>
      </c>
      <c r="D119" s="1" t="s">
        <v>151</v>
      </c>
      <c r="E119" s="1">
        <v>4</v>
      </c>
      <c r="F119" s="1" t="str">
        <f>_xlfn.XLOOKUP(C119,Customers!A:A,Customers!C:C,"MISSING")</f>
        <v>Pune</v>
      </c>
      <c r="G119" s="1" t="str">
        <f>_xlfn.XLOOKUP(D119,Products!A:A,Products!C:C,"MISSING")</f>
        <v>Clothing</v>
      </c>
      <c r="H119" s="1">
        <f>_xlfn.XLOOKUP(D119,Products!A:A,Products!D:D,"MISSING")</f>
        <v>1500</v>
      </c>
      <c r="I119" s="1" t="str">
        <f t="shared" si="2"/>
        <v>Jun</v>
      </c>
      <c r="J119" s="1">
        <f t="shared" si="3"/>
        <v>6000</v>
      </c>
      <c r="K119" s="1" t="str">
        <f>_xlfn.XLOOKUP(C119,Customers!A:A,Customers!B:B,"MISSING")</f>
        <v>Sejal Shah</v>
      </c>
      <c r="L119" s="1" t="str">
        <f>_xlfn.XLOOKUP(D119,Products!A:A,Products!B:B,"MISSING")</f>
        <v>T-Shirt</v>
      </c>
    </row>
    <row r="120" spans="1:12">
      <c r="A120" s="1">
        <v>1119</v>
      </c>
      <c r="B120" s="1" t="s">
        <v>264</v>
      </c>
      <c r="C120" s="1" t="s">
        <v>69</v>
      </c>
      <c r="D120" s="1" t="s">
        <v>151</v>
      </c>
      <c r="E120" s="1">
        <v>1</v>
      </c>
      <c r="F120" s="1" t="str">
        <f>_xlfn.XLOOKUP(C120,Customers!A:A,Customers!C:C,"MISSING")</f>
        <v>Delhi</v>
      </c>
      <c r="G120" s="1" t="str">
        <f>_xlfn.XLOOKUP(D120,Products!A:A,Products!C:C,"MISSING")</f>
        <v>Clothing</v>
      </c>
      <c r="H120" s="1">
        <f>_xlfn.XLOOKUP(D120,Products!A:A,Products!D:D,"MISSING")</f>
        <v>1500</v>
      </c>
      <c r="I120" s="1" t="str">
        <f t="shared" si="2"/>
        <v>May</v>
      </c>
      <c r="J120" s="1">
        <f t="shared" si="3"/>
        <v>1500</v>
      </c>
      <c r="K120" s="1" t="str">
        <f>_xlfn.XLOOKUP(C120,Customers!A:A,Customers!B:B,"MISSING")</f>
        <v>Rahul Sharma</v>
      </c>
      <c r="L120" s="1" t="str">
        <f>_xlfn.XLOOKUP(D120,Products!A:A,Products!B:B,"MISSING")</f>
        <v>T-Shirt</v>
      </c>
    </row>
    <row r="121" spans="1:12">
      <c r="A121" s="1">
        <v>1120</v>
      </c>
      <c r="B121" s="1" t="s">
        <v>265</v>
      </c>
      <c r="C121" s="1" t="s">
        <v>11</v>
      </c>
      <c r="D121" s="1" t="s">
        <v>142</v>
      </c>
      <c r="E121" s="1">
        <v>5</v>
      </c>
      <c r="F121" s="1" t="str">
        <f>_xlfn.XLOOKUP(C121,Customers!A:A,Customers!C:C,"MISSING")</f>
        <v>Chennai</v>
      </c>
      <c r="G121" s="1" t="str">
        <f>_xlfn.XLOOKUP(D121,Products!A:A,Products!C:C,"MISSING")</f>
        <v>Electronics</v>
      </c>
      <c r="H121" s="1">
        <f>_xlfn.XLOOKUP(D121,Products!A:A,Products!D:D,"MISSING")</f>
        <v>15000</v>
      </c>
      <c r="I121" s="1" t="str">
        <f t="shared" si="2"/>
        <v>Sep</v>
      </c>
      <c r="J121" s="1">
        <f t="shared" si="3"/>
        <v>75000</v>
      </c>
      <c r="K121" s="1" t="str">
        <f>_xlfn.XLOOKUP(C121,Customers!A:A,Customers!B:B,"MISSING")</f>
        <v>Sneha Iyer</v>
      </c>
      <c r="L121" s="1" t="str">
        <f>_xlfn.XLOOKUP(D121,Products!A:A,Products!B:B,"MISSING")</f>
        <v>Tablet</v>
      </c>
    </row>
    <row r="122" spans="1:12">
      <c r="A122" s="1">
        <v>1121</v>
      </c>
      <c r="B122" s="1" t="s">
        <v>197</v>
      </c>
      <c r="C122" s="1" t="s">
        <v>74</v>
      </c>
      <c r="D122" s="1" t="s">
        <v>142</v>
      </c>
      <c r="E122" s="1">
        <v>4</v>
      </c>
      <c r="F122" s="1" t="str">
        <f>_xlfn.XLOOKUP(C122,Customers!A:A,Customers!C:C,"MISSING")</f>
        <v>Lucknow</v>
      </c>
      <c r="G122" s="1" t="str">
        <f>_xlfn.XLOOKUP(D122,Products!A:A,Products!C:C,"MISSING")</f>
        <v>Electronics</v>
      </c>
      <c r="H122" s="1">
        <f>_xlfn.XLOOKUP(D122,Products!A:A,Products!D:D,"MISSING")</f>
        <v>15000</v>
      </c>
      <c r="I122" s="1" t="str">
        <f t="shared" si="2"/>
        <v>Sep</v>
      </c>
      <c r="J122" s="1">
        <f t="shared" si="3"/>
        <v>60000</v>
      </c>
      <c r="K122" s="1" t="str">
        <f>_xlfn.XLOOKUP(C122,Customers!A:A,Customers!B:B,"MISSING")</f>
        <v>Nitin Joshi</v>
      </c>
      <c r="L122" s="1" t="str">
        <f>_xlfn.XLOOKUP(D122,Products!A:A,Products!B:B,"MISSING")</f>
        <v>Tablet</v>
      </c>
    </row>
    <row r="123" spans="1:12">
      <c r="A123" s="1">
        <v>1122</v>
      </c>
      <c r="B123" s="1" t="s">
        <v>169</v>
      </c>
      <c r="C123" s="1" t="s">
        <v>9</v>
      </c>
      <c r="D123" s="1" t="s">
        <v>142</v>
      </c>
      <c r="E123" s="1">
        <v>1</v>
      </c>
      <c r="F123" s="1" t="str">
        <f>_xlfn.XLOOKUP(C123,Customers!A:A,Customers!C:C,"MISSING")</f>
        <v>Jaipur</v>
      </c>
      <c r="G123" s="1" t="str">
        <f>_xlfn.XLOOKUP(D123,Products!A:A,Products!C:C,"MISSING")</f>
        <v>Electronics</v>
      </c>
      <c r="H123" s="1">
        <f>_xlfn.XLOOKUP(D123,Products!A:A,Products!D:D,"MISSING")</f>
        <v>15000</v>
      </c>
      <c r="I123" s="1" t="str">
        <f t="shared" si="2"/>
        <v>Jan</v>
      </c>
      <c r="J123" s="1">
        <f t="shared" si="3"/>
        <v>15000</v>
      </c>
      <c r="K123" s="1" t="str">
        <f>_xlfn.XLOOKUP(C123,Customers!A:A,Customers!B:B,"MISSING")</f>
        <v>Priya Kapoor</v>
      </c>
      <c r="L123" s="1" t="str">
        <f>_xlfn.XLOOKUP(D123,Products!A:A,Products!B:B,"MISSING")</f>
        <v>Tablet</v>
      </c>
    </row>
    <row r="124" spans="1:12">
      <c r="A124" s="1">
        <v>1123</v>
      </c>
      <c r="B124" s="1" t="s">
        <v>176</v>
      </c>
      <c r="C124" s="1" t="s">
        <v>80</v>
      </c>
      <c r="D124" s="1" t="s">
        <v>147</v>
      </c>
      <c r="E124" s="1">
        <v>3</v>
      </c>
      <c r="F124" s="1" t="str">
        <f>_xlfn.XLOOKUP(C124,Customers!A:A,Customers!C:C,"MISSING")</f>
        <v>Kolkata</v>
      </c>
      <c r="G124" s="1" t="str">
        <f>_xlfn.XLOOKUP(D124,Products!A:A,Products!C:C,"MISSING")</f>
        <v>Furniture</v>
      </c>
      <c r="H124" s="1">
        <f>_xlfn.XLOOKUP(D124,Products!A:A,Products!D:D,"MISSING")</f>
        <v>7000</v>
      </c>
      <c r="I124" s="1" t="str">
        <f t="shared" si="2"/>
        <v>May</v>
      </c>
      <c r="J124" s="1">
        <f t="shared" si="3"/>
        <v>21000</v>
      </c>
      <c r="K124" s="1" t="str">
        <f>_xlfn.XLOOKUP(C124,Customers!A:A,Customers!B:B,"MISSING")</f>
        <v>Arjun Malhotra</v>
      </c>
      <c r="L124" s="1" t="str">
        <f>_xlfn.XLOOKUP(D124,Products!A:A,Products!B:B,"MISSING")</f>
        <v>Table</v>
      </c>
    </row>
    <row r="125" spans="1:12">
      <c r="A125" s="1">
        <v>1124</v>
      </c>
      <c r="B125" s="1" t="s">
        <v>235</v>
      </c>
      <c r="C125" s="1" t="s">
        <v>80</v>
      </c>
      <c r="D125" s="1" t="s">
        <v>151</v>
      </c>
      <c r="E125" s="1">
        <v>2</v>
      </c>
      <c r="F125" s="1" t="str">
        <f>_xlfn.XLOOKUP(C125,Customers!A:A,Customers!C:C,"MISSING")</f>
        <v>Kolkata</v>
      </c>
      <c r="G125" s="1" t="str">
        <f>_xlfn.XLOOKUP(D125,Products!A:A,Products!C:C,"MISSING")</f>
        <v>Clothing</v>
      </c>
      <c r="H125" s="1">
        <f>_xlfn.XLOOKUP(D125,Products!A:A,Products!D:D,"MISSING")</f>
        <v>1500</v>
      </c>
      <c r="I125" s="1" t="str">
        <f t="shared" si="2"/>
        <v>Jan</v>
      </c>
      <c r="J125" s="1">
        <f t="shared" si="3"/>
        <v>3000</v>
      </c>
      <c r="K125" s="1" t="str">
        <f>_xlfn.XLOOKUP(C125,Customers!A:A,Customers!B:B,"MISSING")</f>
        <v>Arjun Malhotra</v>
      </c>
      <c r="L125" s="1" t="str">
        <f>_xlfn.XLOOKUP(D125,Products!A:A,Products!B:B,"MISSING")</f>
        <v>T-Shirt</v>
      </c>
    </row>
    <row r="126" spans="1:12">
      <c r="A126" s="1">
        <v>1125</v>
      </c>
      <c r="B126" s="1" t="s">
        <v>266</v>
      </c>
      <c r="C126" s="1" t="s">
        <v>116</v>
      </c>
      <c r="D126" s="1" t="s">
        <v>147</v>
      </c>
      <c r="E126" s="1">
        <v>3</v>
      </c>
      <c r="F126" s="1" t="str">
        <f>_xlfn.XLOOKUP(C126,Customers!A:A,Customers!C:C,"MISSING")</f>
        <v>Kolkata</v>
      </c>
      <c r="G126" s="1" t="str">
        <f>_xlfn.XLOOKUP(D126,Products!A:A,Products!C:C,"MISSING")</f>
        <v>Furniture</v>
      </c>
      <c r="H126" s="1">
        <f>_xlfn.XLOOKUP(D126,Products!A:A,Products!D:D,"MISSING")</f>
        <v>7000</v>
      </c>
      <c r="I126" s="1" t="str">
        <f t="shared" si="2"/>
        <v>Nov</v>
      </c>
      <c r="J126" s="1">
        <f t="shared" si="3"/>
        <v>21000</v>
      </c>
      <c r="K126" s="1" t="str">
        <f>_xlfn.XLOOKUP(C126,Customers!A:A,Customers!B:B,"MISSING")</f>
        <v>Tanya Sethi</v>
      </c>
      <c r="L126" s="1" t="str">
        <f>_xlfn.XLOOKUP(D126,Products!A:A,Products!B:B,"MISSING")</f>
        <v>Table</v>
      </c>
    </row>
    <row r="127" spans="1:12">
      <c r="A127" s="1">
        <v>1126</v>
      </c>
      <c r="B127" s="1" t="s">
        <v>267</v>
      </c>
      <c r="C127" s="1" t="s">
        <v>71</v>
      </c>
      <c r="D127" s="1" t="s">
        <v>156</v>
      </c>
      <c r="E127" s="1">
        <v>2</v>
      </c>
      <c r="F127" s="1" t="str">
        <f>_xlfn.XLOOKUP(C127,Customers!A:A,Customers!C:C,"MISSING")</f>
        <v>Mumbai</v>
      </c>
      <c r="G127" s="1" t="str">
        <f>_xlfn.XLOOKUP(D127,Products!A:A,Products!C:C,"MISSING")</f>
        <v>Clothing</v>
      </c>
      <c r="H127" s="1">
        <f>_xlfn.XLOOKUP(D127,Products!A:A,Products!D:D,"MISSING")</f>
        <v>1800</v>
      </c>
      <c r="I127" s="1" t="str">
        <f t="shared" si="2"/>
        <v>Dec</v>
      </c>
      <c r="J127" s="1">
        <f t="shared" si="3"/>
        <v>3600</v>
      </c>
      <c r="K127" s="1" t="str">
        <f>_xlfn.XLOOKUP(C127,Customers!A:A,Customers!B:B,"MISSING")</f>
        <v>Neha Singh</v>
      </c>
      <c r="L127" s="1" t="str">
        <f>_xlfn.XLOOKUP(D127,Products!A:A,Products!B:B,"MISSING")</f>
        <v>Shirt</v>
      </c>
    </row>
    <row r="128" spans="1:12">
      <c r="A128" s="1">
        <v>1127</v>
      </c>
      <c r="B128" s="1" t="s">
        <v>268</v>
      </c>
      <c r="C128" s="1" t="s">
        <v>104</v>
      </c>
      <c r="D128" s="1" t="s">
        <v>137</v>
      </c>
      <c r="E128" s="1">
        <v>4</v>
      </c>
      <c r="F128" s="1" t="str">
        <f>_xlfn.XLOOKUP(C128,Customers!A:A,Customers!C:C,"MISSING")</f>
        <v>Ahmedabad</v>
      </c>
      <c r="G128" s="1" t="str">
        <f>_xlfn.XLOOKUP(D128,Products!A:A,Products!C:C,"MISSING")</f>
        <v>Electronics</v>
      </c>
      <c r="H128" s="1">
        <f>_xlfn.XLOOKUP(D128,Products!A:A,Products!D:D,"MISSING")</f>
        <v>50000</v>
      </c>
      <c r="I128" s="1" t="str">
        <f t="shared" si="2"/>
        <v>Feb</v>
      </c>
      <c r="J128" s="1">
        <f t="shared" si="3"/>
        <v>200000</v>
      </c>
      <c r="K128" s="1" t="str">
        <f>_xlfn.XLOOKUP(C128,Customers!A:A,Customers!B:B,"MISSING")</f>
        <v>Amit Verma</v>
      </c>
      <c r="L128" s="1" t="str">
        <f>_xlfn.XLOOKUP(D128,Products!A:A,Products!B:B,"MISSING")</f>
        <v>Laptop</v>
      </c>
    </row>
    <row r="129" spans="1:12">
      <c r="A129" s="1">
        <v>1128</v>
      </c>
      <c r="B129" s="1" t="s">
        <v>269</v>
      </c>
      <c r="C129" s="1" t="s">
        <v>100</v>
      </c>
      <c r="D129" s="1" t="s">
        <v>142</v>
      </c>
      <c r="E129" s="1">
        <v>5</v>
      </c>
      <c r="F129" s="1" t="str">
        <f>_xlfn.XLOOKUP(C129,Customers!A:A,Customers!C:C,"MISSING")</f>
        <v>Ahmedabad</v>
      </c>
      <c r="G129" s="1" t="str">
        <f>_xlfn.XLOOKUP(D129,Products!A:A,Products!C:C,"MISSING")</f>
        <v>Electronics</v>
      </c>
      <c r="H129" s="1">
        <f>_xlfn.XLOOKUP(D129,Products!A:A,Products!D:D,"MISSING")</f>
        <v>15000</v>
      </c>
      <c r="I129" s="1" t="str">
        <f t="shared" si="2"/>
        <v>Aug</v>
      </c>
      <c r="J129" s="1">
        <f t="shared" si="3"/>
        <v>75000</v>
      </c>
      <c r="K129" s="1" t="str">
        <f>_xlfn.XLOOKUP(C129,Customers!A:A,Customers!B:B,"MISSING")</f>
        <v>Vikas Nair</v>
      </c>
      <c r="L129" s="1" t="str">
        <f>_xlfn.XLOOKUP(D129,Products!A:A,Products!B:B,"MISSING")</f>
        <v>Tablet</v>
      </c>
    </row>
    <row r="130" spans="1:12">
      <c r="A130" s="1">
        <v>1129</v>
      </c>
      <c r="B130" s="1" t="s">
        <v>226</v>
      </c>
      <c r="C130" s="1" t="s">
        <v>120</v>
      </c>
      <c r="D130" s="1" t="s">
        <v>140</v>
      </c>
      <c r="E130" s="1">
        <v>3</v>
      </c>
      <c r="F130" s="1" t="str">
        <f>_xlfn.XLOOKUP(C130,Customers!A:A,Customers!C:C,"MISSING")</f>
        <v>Chennai</v>
      </c>
      <c r="G130" s="1" t="str">
        <f>_xlfn.XLOOKUP(D130,Products!A:A,Products!C:C,"MISSING")</f>
        <v>Electronics</v>
      </c>
      <c r="H130" s="1">
        <f>_xlfn.XLOOKUP(D130,Products!A:A,Products!D:D,"MISSING")</f>
        <v>20000</v>
      </c>
      <c r="I130" s="1" t="str">
        <f t="shared" si="2"/>
        <v>Jun</v>
      </c>
      <c r="J130" s="1">
        <f t="shared" si="3"/>
        <v>60000</v>
      </c>
      <c r="K130" s="1" t="str">
        <f>_xlfn.XLOOKUP(C130,Customers!A:A,Customers!B:B,"MISSING")</f>
        <v>Arjun Malhotra</v>
      </c>
      <c r="L130" s="1" t="str">
        <f>_xlfn.XLOOKUP(D130,Products!A:A,Products!B:B,"MISSING")</f>
        <v>Mobile</v>
      </c>
    </row>
    <row r="131" spans="1:12">
      <c r="A131" s="1">
        <v>1130</v>
      </c>
      <c r="B131" s="1" t="s">
        <v>270</v>
      </c>
      <c r="C131" s="1" t="s">
        <v>39</v>
      </c>
      <c r="D131" s="1" t="s">
        <v>156</v>
      </c>
      <c r="E131" s="1">
        <v>3</v>
      </c>
      <c r="F131" s="1" t="str">
        <f>_xlfn.XLOOKUP(C131,Customers!A:A,Customers!C:C,"MISSING")</f>
        <v>Lucknow</v>
      </c>
      <c r="G131" s="1" t="str">
        <f>_xlfn.XLOOKUP(D131,Products!A:A,Products!C:C,"MISSING")</f>
        <v>Clothing</v>
      </c>
      <c r="H131" s="1">
        <f>_xlfn.XLOOKUP(D131,Products!A:A,Products!D:D,"MISSING")</f>
        <v>1800</v>
      </c>
      <c r="I131" s="1" t="str">
        <f t="shared" ref="I131:I194" si="4">TEXT(B131,"mmm")</f>
        <v>Jun</v>
      </c>
      <c r="J131" s="1">
        <f t="shared" ref="J131:J194" si="5">E131*H131</f>
        <v>5400</v>
      </c>
      <c r="K131" s="1" t="str">
        <f>_xlfn.XLOOKUP(C131,Customers!A:A,Customers!B:B,"MISSING")</f>
        <v>Priya Kapoor</v>
      </c>
      <c r="L131" s="1" t="str">
        <f>_xlfn.XLOOKUP(D131,Products!A:A,Products!B:B,"MISSING")</f>
        <v>Shirt</v>
      </c>
    </row>
    <row r="132" spans="1:12">
      <c r="A132" s="1">
        <v>1131</v>
      </c>
      <c r="B132" s="1" t="s">
        <v>271</v>
      </c>
      <c r="C132" s="1" t="s">
        <v>116</v>
      </c>
      <c r="D132" s="1" t="s">
        <v>137</v>
      </c>
      <c r="E132" s="1">
        <v>5</v>
      </c>
      <c r="F132" s="1" t="str">
        <f>_xlfn.XLOOKUP(C132,Customers!A:A,Customers!C:C,"MISSING")</f>
        <v>Kolkata</v>
      </c>
      <c r="G132" s="1" t="str">
        <f>_xlfn.XLOOKUP(D132,Products!A:A,Products!C:C,"MISSING")</f>
        <v>Electronics</v>
      </c>
      <c r="H132" s="1">
        <f>_xlfn.XLOOKUP(D132,Products!A:A,Products!D:D,"MISSING")</f>
        <v>50000</v>
      </c>
      <c r="I132" s="1" t="str">
        <f t="shared" si="4"/>
        <v>Feb</v>
      </c>
      <c r="J132" s="1">
        <f t="shared" si="5"/>
        <v>250000</v>
      </c>
      <c r="K132" s="1" t="str">
        <f>_xlfn.XLOOKUP(C132,Customers!A:A,Customers!B:B,"MISSING")</f>
        <v>Tanya Sethi</v>
      </c>
      <c r="L132" s="1" t="str">
        <f>_xlfn.XLOOKUP(D132,Products!A:A,Products!B:B,"MISSING")</f>
        <v>Laptop</v>
      </c>
    </row>
    <row r="133" spans="1:12">
      <c r="A133" s="1">
        <v>1132</v>
      </c>
      <c r="B133" s="1" t="s">
        <v>240</v>
      </c>
      <c r="C133" s="1" t="s">
        <v>44</v>
      </c>
      <c r="D133" s="1" t="s">
        <v>149</v>
      </c>
      <c r="E133" s="1">
        <v>3</v>
      </c>
      <c r="F133" s="1" t="str">
        <f>_xlfn.XLOOKUP(C133,Customers!A:A,Customers!C:C,"MISSING")</f>
        <v>Lucknow</v>
      </c>
      <c r="G133" s="1" t="str">
        <f>_xlfn.XLOOKUP(D133,Products!A:A,Products!C:C,"MISSING")</f>
        <v>Furniture</v>
      </c>
      <c r="H133" s="1">
        <f>_xlfn.XLOOKUP(D133,Products!A:A,Products!D:D,"MISSING")</f>
        <v>25000</v>
      </c>
      <c r="I133" s="1" t="str">
        <f t="shared" si="4"/>
        <v>Oct</v>
      </c>
      <c r="J133" s="1">
        <f t="shared" si="5"/>
        <v>75000</v>
      </c>
      <c r="K133" s="1" t="str">
        <f>_xlfn.XLOOKUP(C133,Customers!A:A,Customers!B:B,"MISSING")</f>
        <v>Nitin Joshi</v>
      </c>
      <c r="L133" s="1" t="str">
        <f>_xlfn.XLOOKUP(D133,Products!A:A,Products!B:B,"MISSING")</f>
        <v>Sofa</v>
      </c>
    </row>
    <row r="134" spans="1:12">
      <c r="A134" s="1">
        <v>1133</v>
      </c>
      <c r="B134" s="1" t="s">
        <v>167</v>
      </c>
      <c r="C134" s="1" t="s">
        <v>108</v>
      </c>
      <c r="D134" s="1" t="s">
        <v>140</v>
      </c>
      <c r="E134" s="1">
        <v>5</v>
      </c>
      <c r="F134" s="1" t="str">
        <f>_xlfn.XLOOKUP(C134,Customers!A:A,Customers!C:C,"MISSING")</f>
        <v>Bangalore</v>
      </c>
      <c r="G134" s="1" t="str">
        <f>_xlfn.XLOOKUP(D134,Products!A:A,Products!C:C,"MISSING")</f>
        <v>Electronics</v>
      </c>
      <c r="H134" s="1">
        <f>_xlfn.XLOOKUP(D134,Products!A:A,Products!D:D,"MISSING")</f>
        <v>20000</v>
      </c>
      <c r="I134" s="1" t="str">
        <f t="shared" si="4"/>
        <v>Mar</v>
      </c>
      <c r="J134" s="1">
        <f t="shared" si="5"/>
        <v>100000</v>
      </c>
      <c r="K134" s="1" t="str">
        <f>_xlfn.XLOOKUP(C134,Customers!A:A,Customers!B:B,"MISSING")</f>
        <v>Komal Gupta</v>
      </c>
      <c r="L134" s="1" t="str">
        <f>_xlfn.XLOOKUP(D134,Products!A:A,Products!B:B,"MISSING")</f>
        <v>Mobile</v>
      </c>
    </row>
    <row r="135" spans="1:12">
      <c r="A135" s="1">
        <v>1134</v>
      </c>
      <c r="B135" s="1" t="s">
        <v>272</v>
      </c>
      <c r="C135" s="1" t="s">
        <v>110</v>
      </c>
      <c r="D135" s="1" t="s">
        <v>140</v>
      </c>
      <c r="E135" s="1">
        <v>3</v>
      </c>
      <c r="F135" s="1" t="str">
        <f>_xlfn.XLOOKUP(C135,Customers!A:A,Customers!C:C,"MISSING")</f>
        <v>Delhi</v>
      </c>
      <c r="G135" s="1" t="str">
        <f>_xlfn.XLOOKUP(D135,Products!A:A,Products!C:C,"MISSING")</f>
        <v>Electronics</v>
      </c>
      <c r="H135" s="1">
        <f>_xlfn.XLOOKUP(D135,Products!A:A,Products!D:D,"MISSING")</f>
        <v>20000</v>
      </c>
      <c r="I135" s="1" t="str">
        <f t="shared" si="4"/>
        <v>Jan</v>
      </c>
      <c r="J135" s="1">
        <f t="shared" si="5"/>
        <v>60000</v>
      </c>
      <c r="K135" s="1" t="str">
        <f>_xlfn.XLOOKUP(C135,Customers!A:A,Customers!B:B,"MISSING")</f>
        <v>Meera Kulkarni</v>
      </c>
      <c r="L135" s="1" t="str">
        <f>_xlfn.XLOOKUP(D135,Products!A:A,Products!B:B,"MISSING")</f>
        <v>Mobile</v>
      </c>
    </row>
    <row r="136" spans="1:12">
      <c r="A136" s="1">
        <v>1135</v>
      </c>
      <c r="B136" s="1" t="s">
        <v>273</v>
      </c>
      <c r="C136" s="1" t="s">
        <v>98</v>
      </c>
      <c r="D136" s="1" t="s">
        <v>156</v>
      </c>
      <c r="E136" s="1">
        <v>5</v>
      </c>
      <c r="F136" s="1" t="str">
        <f>_xlfn.XLOOKUP(C136,Customers!A:A,Customers!C:C,"MISSING")</f>
        <v>Bangalore</v>
      </c>
      <c r="G136" s="1" t="str">
        <f>_xlfn.XLOOKUP(D136,Products!A:A,Products!C:C,"MISSING")</f>
        <v>Clothing</v>
      </c>
      <c r="H136" s="1">
        <f>_xlfn.XLOOKUP(D136,Products!A:A,Products!D:D,"MISSING")</f>
        <v>1800</v>
      </c>
      <c r="I136" s="1" t="str">
        <f t="shared" si="4"/>
        <v>Aug</v>
      </c>
      <c r="J136" s="1">
        <f t="shared" si="5"/>
        <v>9000</v>
      </c>
      <c r="K136" s="1" t="str">
        <f>_xlfn.XLOOKUP(C136,Customers!A:A,Customers!B:B,"MISSING")</f>
        <v>Pooja Jain</v>
      </c>
      <c r="L136" s="1" t="str">
        <f>_xlfn.XLOOKUP(D136,Products!A:A,Products!B:B,"MISSING")</f>
        <v>Shirt</v>
      </c>
    </row>
    <row r="137" spans="1:12">
      <c r="A137" s="1">
        <v>1136</v>
      </c>
      <c r="B137" s="1" t="s">
        <v>274</v>
      </c>
      <c r="C137" s="1" t="s">
        <v>84</v>
      </c>
      <c r="D137" s="1" t="s">
        <v>154</v>
      </c>
      <c r="E137" s="1">
        <v>4</v>
      </c>
      <c r="F137" s="1" t="str">
        <f>_xlfn.XLOOKUP(C137,Customers!A:A,Customers!C:C,"MISSING")</f>
        <v>Mumbai</v>
      </c>
      <c r="G137" s="1" t="str">
        <f>_xlfn.XLOOKUP(D137,Products!A:A,Products!C:C,"MISSING")</f>
        <v>Clothing</v>
      </c>
      <c r="H137" s="1">
        <f>_xlfn.XLOOKUP(D137,Products!A:A,Products!D:D,"MISSING")</f>
        <v>2500</v>
      </c>
      <c r="I137" s="1" t="str">
        <f t="shared" si="4"/>
        <v>Sep</v>
      </c>
      <c r="J137" s="1">
        <f t="shared" si="5"/>
        <v>10000</v>
      </c>
      <c r="K137" s="1" t="str">
        <f>_xlfn.XLOOKUP(C137,Customers!A:A,Customers!B:B,"MISSING")</f>
        <v>Manav Arora</v>
      </c>
      <c r="L137" s="1" t="str">
        <f>_xlfn.XLOOKUP(D137,Products!A:A,Products!B:B,"MISSING")</f>
        <v>Jeans</v>
      </c>
    </row>
    <row r="138" spans="1:12">
      <c r="A138" s="1">
        <v>1137</v>
      </c>
      <c r="B138" s="1" t="s">
        <v>195</v>
      </c>
      <c r="C138" s="1" t="s">
        <v>26</v>
      </c>
      <c r="D138" s="1" t="s">
        <v>151</v>
      </c>
      <c r="E138" s="1">
        <v>2</v>
      </c>
      <c r="F138" s="1" t="str">
        <f>_xlfn.XLOOKUP(C138,Customers!A:A,Customers!C:C,"MISSING")</f>
        <v>Ahmedabad</v>
      </c>
      <c r="G138" s="1" t="str">
        <f>_xlfn.XLOOKUP(D138,Products!A:A,Products!C:C,"MISSING")</f>
        <v>Clothing</v>
      </c>
      <c r="H138" s="1">
        <f>_xlfn.XLOOKUP(D138,Products!A:A,Products!D:D,"MISSING")</f>
        <v>1500</v>
      </c>
      <c r="I138" s="1" t="str">
        <f t="shared" si="4"/>
        <v>Mar</v>
      </c>
      <c r="J138" s="1">
        <f t="shared" si="5"/>
        <v>3000</v>
      </c>
      <c r="K138" s="1" t="str">
        <f>_xlfn.XLOOKUP(C138,Customers!A:A,Customers!B:B,"MISSING")</f>
        <v>Arjun Malhotra</v>
      </c>
      <c r="L138" s="1" t="str">
        <f>_xlfn.XLOOKUP(D138,Products!A:A,Products!B:B,"MISSING")</f>
        <v>T-Shirt</v>
      </c>
    </row>
    <row r="139" spans="1:12">
      <c r="A139" s="1">
        <v>1138</v>
      </c>
      <c r="B139" s="1" t="s">
        <v>258</v>
      </c>
      <c r="C139" s="1" t="s">
        <v>101</v>
      </c>
      <c r="D139" s="1" t="s">
        <v>142</v>
      </c>
      <c r="E139" s="1">
        <v>2</v>
      </c>
      <c r="F139" s="1" t="str">
        <f>_xlfn.XLOOKUP(C139,Customers!A:A,Customers!C:C,"MISSING")</f>
        <v>Chennai</v>
      </c>
      <c r="G139" s="1" t="str">
        <f>_xlfn.XLOOKUP(D139,Products!A:A,Products!C:C,"MISSING")</f>
        <v>Electronics</v>
      </c>
      <c r="H139" s="1">
        <f>_xlfn.XLOOKUP(D139,Products!A:A,Products!D:D,"MISSING")</f>
        <v>15000</v>
      </c>
      <c r="I139" s="1" t="str">
        <f t="shared" si="4"/>
        <v>Jul</v>
      </c>
      <c r="J139" s="1">
        <f t="shared" si="5"/>
        <v>30000</v>
      </c>
      <c r="K139" s="1" t="str">
        <f>_xlfn.XLOOKUP(C139,Customers!A:A,Customers!B:B,"MISSING")</f>
        <v>Rahul Sharma</v>
      </c>
      <c r="L139" s="1" t="str">
        <f>_xlfn.XLOOKUP(D139,Products!A:A,Products!B:B,"MISSING")</f>
        <v>Tablet</v>
      </c>
    </row>
    <row r="140" spans="1:12">
      <c r="A140" s="1">
        <v>1139</v>
      </c>
      <c r="B140" s="1" t="s">
        <v>275</v>
      </c>
      <c r="C140" s="1" t="s">
        <v>102</v>
      </c>
      <c r="D140" s="1" t="s">
        <v>151</v>
      </c>
      <c r="E140" s="1">
        <v>2</v>
      </c>
      <c r="F140" s="1" t="str">
        <f>_xlfn.XLOOKUP(C140,Customers!A:A,Customers!C:C,"MISSING")</f>
        <v>Lucknow</v>
      </c>
      <c r="G140" s="1" t="str">
        <f>_xlfn.XLOOKUP(D140,Products!A:A,Products!C:C,"MISSING")</f>
        <v>Clothing</v>
      </c>
      <c r="H140" s="1">
        <f>_xlfn.XLOOKUP(D140,Products!A:A,Products!D:D,"MISSING")</f>
        <v>1500</v>
      </c>
      <c r="I140" s="1" t="str">
        <f t="shared" si="4"/>
        <v>Sep</v>
      </c>
      <c r="J140" s="1">
        <f t="shared" si="5"/>
        <v>3000</v>
      </c>
      <c r="K140" s="1" t="str">
        <f>_xlfn.XLOOKUP(C140,Customers!A:A,Customers!B:B,"MISSING")</f>
        <v>Manav Arora</v>
      </c>
      <c r="L140" s="1" t="str">
        <f>_xlfn.XLOOKUP(D140,Products!A:A,Products!B:B,"MISSING")</f>
        <v>T-Shirt</v>
      </c>
    </row>
    <row r="141" spans="1:12">
      <c r="A141" s="1">
        <v>1140</v>
      </c>
      <c r="B141" s="1" t="s">
        <v>276</v>
      </c>
      <c r="C141" s="1" t="s">
        <v>129</v>
      </c>
      <c r="D141" s="1" t="s">
        <v>140</v>
      </c>
      <c r="E141" s="1">
        <v>4</v>
      </c>
      <c r="F141" s="1" t="str">
        <f>_xlfn.XLOOKUP(C141,Customers!A:A,Customers!C:C,"MISSING")</f>
        <v>Chennai</v>
      </c>
      <c r="G141" s="1" t="str">
        <f>_xlfn.XLOOKUP(D141,Products!A:A,Products!C:C,"MISSING")</f>
        <v>Electronics</v>
      </c>
      <c r="H141" s="1">
        <f>_xlfn.XLOOKUP(D141,Products!A:A,Products!D:D,"MISSING")</f>
        <v>20000</v>
      </c>
      <c r="I141" s="1" t="str">
        <f t="shared" si="4"/>
        <v>Jun</v>
      </c>
      <c r="J141" s="1">
        <f t="shared" si="5"/>
        <v>80000</v>
      </c>
      <c r="K141" s="1" t="str">
        <f>_xlfn.XLOOKUP(C141,Customers!A:A,Customers!B:B,"MISSING")</f>
        <v>Neha Singh</v>
      </c>
      <c r="L141" s="1" t="str">
        <f>_xlfn.XLOOKUP(D141,Products!A:A,Products!B:B,"MISSING")</f>
        <v>Mobile</v>
      </c>
    </row>
    <row r="142" spans="1:12">
      <c r="A142" s="1">
        <v>1141</v>
      </c>
      <c r="B142" s="1" t="s">
        <v>251</v>
      </c>
      <c r="C142" s="1" t="s">
        <v>66</v>
      </c>
      <c r="D142" s="1" t="s">
        <v>158</v>
      </c>
      <c r="E142" s="1">
        <v>3</v>
      </c>
      <c r="F142" s="1" t="str">
        <f>_xlfn.XLOOKUP(C142,Customers!A:A,Customers!C:C,"MISSING")</f>
        <v>Ahmedabad</v>
      </c>
      <c r="G142" s="1" t="str">
        <f>_xlfn.XLOOKUP(D142,Products!A:A,Products!C:C,"MISSING")</f>
        <v>Clothing</v>
      </c>
      <c r="H142" s="1">
        <f>_xlfn.XLOOKUP(D142,Products!A:A,Products!D:D,"MISSING")</f>
        <v>3500</v>
      </c>
      <c r="I142" s="1" t="str">
        <f t="shared" si="4"/>
        <v>May</v>
      </c>
      <c r="J142" s="1">
        <f t="shared" si="5"/>
        <v>10500</v>
      </c>
      <c r="K142" s="1" t="str">
        <f>_xlfn.XLOOKUP(C142,Customers!A:A,Customers!B:B,"MISSING")</f>
        <v>Sejal Shah</v>
      </c>
      <c r="L142" s="1" t="str">
        <f>_xlfn.XLOOKUP(D142,Products!A:A,Products!B:B,"MISSING")</f>
        <v>Shoes</v>
      </c>
    </row>
    <row r="143" spans="1:12">
      <c r="A143" s="1">
        <v>1142</v>
      </c>
      <c r="B143" s="1" t="s">
        <v>222</v>
      </c>
      <c r="C143" s="1" t="s">
        <v>54</v>
      </c>
      <c r="D143" s="1" t="s">
        <v>158</v>
      </c>
      <c r="E143" s="1">
        <v>2</v>
      </c>
      <c r="F143" s="1" t="str">
        <f>_xlfn.XLOOKUP(C143,Customers!A:A,Customers!C:C,"MISSING")</f>
        <v>Chennai</v>
      </c>
      <c r="G143" s="1" t="str">
        <f>_xlfn.XLOOKUP(D143,Products!A:A,Products!C:C,"MISSING")</f>
        <v>Clothing</v>
      </c>
      <c r="H143" s="1">
        <f>_xlfn.XLOOKUP(D143,Products!A:A,Products!D:D,"MISSING")</f>
        <v>3500</v>
      </c>
      <c r="I143" s="1" t="str">
        <f t="shared" si="4"/>
        <v>Mar</v>
      </c>
      <c r="J143" s="1">
        <f t="shared" si="5"/>
        <v>7000</v>
      </c>
      <c r="K143" s="1" t="str">
        <f>_xlfn.XLOOKUP(C143,Customers!A:A,Customers!B:B,"MISSING")</f>
        <v>Ravi Patel</v>
      </c>
      <c r="L143" s="1" t="str">
        <f>_xlfn.XLOOKUP(D143,Products!A:A,Products!B:B,"MISSING")</f>
        <v>Shoes</v>
      </c>
    </row>
    <row r="144" spans="1:12">
      <c r="A144" s="1">
        <v>1143</v>
      </c>
      <c r="B144" s="1" t="s">
        <v>277</v>
      </c>
      <c r="C144" s="1" t="s">
        <v>117</v>
      </c>
      <c r="D144" s="1" t="s">
        <v>154</v>
      </c>
      <c r="E144" s="1">
        <v>3</v>
      </c>
      <c r="F144" s="1" t="str">
        <f>_xlfn.XLOOKUP(C144,Customers!A:A,Customers!C:C,"MISSING")</f>
        <v>Kolkata</v>
      </c>
      <c r="G144" s="1" t="str">
        <f>_xlfn.XLOOKUP(D144,Products!A:A,Products!C:C,"MISSING")</f>
        <v>Clothing</v>
      </c>
      <c r="H144" s="1">
        <f>_xlfn.XLOOKUP(D144,Products!A:A,Products!D:D,"MISSING")</f>
        <v>2500</v>
      </c>
      <c r="I144" s="1" t="str">
        <f t="shared" si="4"/>
        <v>Jul</v>
      </c>
      <c r="J144" s="1">
        <f t="shared" si="5"/>
        <v>7500</v>
      </c>
      <c r="K144" s="1" t="str">
        <f>_xlfn.XLOOKUP(C144,Customers!A:A,Customers!B:B,"MISSING")</f>
        <v>Tanya Sethi</v>
      </c>
      <c r="L144" s="1" t="str">
        <f>_xlfn.XLOOKUP(D144,Products!A:A,Products!B:B,"MISSING")</f>
        <v>Jeans</v>
      </c>
    </row>
    <row r="145" spans="1:12">
      <c r="A145" s="1">
        <v>1144</v>
      </c>
      <c r="B145" s="1" t="s">
        <v>278</v>
      </c>
      <c r="C145" s="1" t="s">
        <v>20</v>
      </c>
      <c r="D145" s="1" t="s">
        <v>137</v>
      </c>
      <c r="E145" s="1">
        <v>2</v>
      </c>
      <c r="F145" s="1" t="str">
        <f>_xlfn.XLOOKUP(C145,Customers!A:A,Customers!C:C,"MISSING")</f>
        <v>Bangalore</v>
      </c>
      <c r="G145" s="1" t="str">
        <f>_xlfn.XLOOKUP(D145,Products!A:A,Products!C:C,"MISSING")</f>
        <v>Electronics</v>
      </c>
      <c r="H145" s="1">
        <f>_xlfn.XLOOKUP(D145,Products!A:A,Products!D:D,"MISSING")</f>
        <v>50000</v>
      </c>
      <c r="I145" s="1" t="str">
        <f t="shared" si="4"/>
        <v>Nov</v>
      </c>
      <c r="J145" s="1">
        <f t="shared" si="5"/>
        <v>100000</v>
      </c>
      <c r="K145" s="1" t="str">
        <f>_xlfn.XLOOKUP(C145,Customers!A:A,Customers!B:B,"MISSING")</f>
        <v>Komal Gupta</v>
      </c>
      <c r="L145" s="1" t="str">
        <f>_xlfn.XLOOKUP(D145,Products!A:A,Products!B:B,"MISSING")</f>
        <v>Laptop</v>
      </c>
    </row>
    <row r="146" spans="1:12">
      <c r="A146" s="1">
        <v>1145</v>
      </c>
      <c r="B146" s="1" t="s">
        <v>279</v>
      </c>
      <c r="C146" s="1" t="s">
        <v>52</v>
      </c>
      <c r="D146" s="1" t="s">
        <v>144</v>
      </c>
      <c r="E146" s="1">
        <v>4</v>
      </c>
      <c r="F146" s="1" t="str">
        <f>_xlfn.XLOOKUP(C146,Customers!A:A,Customers!C:C,"MISSING")</f>
        <v>Bangalore</v>
      </c>
      <c r="G146" s="1" t="str">
        <f>_xlfn.XLOOKUP(D146,Products!A:A,Products!C:C,"MISSING")</f>
        <v>Furniture</v>
      </c>
      <c r="H146" s="1">
        <f>_xlfn.XLOOKUP(D146,Products!A:A,Products!D:D,"MISSING")</f>
        <v>3000</v>
      </c>
      <c r="I146" s="1" t="str">
        <f t="shared" si="4"/>
        <v>Jan</v>
      </c>
      <c r="J146" s="1">
        <f t="shared" si="5"/>
        <v>12000</v>
      </c>
      <c r="K146" s="1" t="str">
        <f>_xlfn.XLOOKUP(C146,Customers!A:A,Customers!B:B,"MISSING")</f>
        <v>Tanya Sethi</v>
      </c>
      <c r="L146" s="1" t="str">
        <f>_xlfn.XLOOKUP(D146,Products!A:A,Products!B:B,"MISSING")</f>
        <v>Chair</v>
      </c>
    </row>
    <row r="147" spans="1:12">
      <c r="A147" s="1">
        <v>1146</v>
      </c>
      <c r="B147" s="1" t="s">
        <v>280</v>
      </c>
      <c r="C147" s="1" t="s">
        <v>118</v>
      </c>
      <c r="D147" s="1" t="s">
        <v>142</v>
      </c>
      <c r="E147" s="1">
        <v>5</v>
      </c>
      <c r="F147" s="1" t="str">
        <f>_xlfn.XLOOKUP(C147,Customers!A:A,Customers!C:C,"MISSING")</f>
        <v>Hyderabad</v>
      </c>
      <c r="G147" s="1" t="str">
        <f>_xlfn.XLOOKUP(D147,Products!A:A,Products!C:C,"MISSING")</f>
        <v>Electronics</v>
      </c>
      <c r="H147" s="1">
        <f>_xlfn.XLOOKUP(D147,Products!A:A,Products!D:D,"MISSING")</f>
        <v>15000</v>
      </c>
      <c r="I147" s="1" t="str">
        <f t="shared" si="4"/>
        <v>Jan</v>
      </c>
      <c r="J147" s="1">
        <f t="shared" si="5"/>
        <v>75000</v>
      </c>
      <c r="K147" s="1" t="str">
        <f>_xlfn.XLOOKUP(C147,Customers!A:A,Customers!B:B,"MISSING")</f>
        <v>Riya Das</v>
      </c>
      <c r="L147" s="1" t="str">
        <f>_xlfn.XLOOKUP(D147,Products!A:A,Products!B:B,"MISSING")</f>
        <v>Tablet</v>
      </c>
    </row>
    <row r="148" spans="1:12">
      <c r="A148" s="1">
        <v>1147</v>
      </c>
      <c r="B148" s="1" t="s">
        <v>281</v>
      </c>
      <c r="C148" s="1" t="s">
        <v>90</v>
      </c>
      <c r="D148" s="1" t="s">
        <v>140</v>
      </c>
      <c r="E148" s="1">
        <v>4</v>
      </c>
      <c r="F148" s="1" t="str">
        <f>_xlfn.XLOOKUP(C148,Customers!A:A,Customers!C:C,"MISSING")</f>
        <v>Mumbai</v>
      </c>
      <c r="G148" s="1" t="str">
        <f>_xlfn.XLOOKUP(D148,Products!A:A,Products!C:C,"MISSING")</f>
        <v>Electronics</v>
      </c>
      <c r="H148" s="1">
        <f>_xlfn.XLOOKUP(D148,Products!A:A,Products!D:D,"MISSING")</f>
        <v>20000</v>
      </c>
      <c r="I148" s="1" t="str">
        <f t="shared" si="4"/>
        <v>May</v>
      </c>
      <c r="J148" s="1">
        <f t="shared" si="5"/>
        <v>80000</v>
      </c>
      <c r="K148" s="1" t="str">
        <f>_xlfn.XLOOKUP(C148,Customers!A:A,Customers!B:B,"MISSING")</f>
        <v>Karan Mehta</v>
      </c>
      <c r="L148" s="1" t="str">
        <f>_xlfn.XLOOKUP(D148,Products!A:A,Products!B:B,"MISSING")</f>
        <v>Mobile</v>
      </c>
    </row>
    <row r="149" spans="1:12">
      <c r="A149" s="1">
        <v>1148</v>
      </c>
      <c r="B149" s="1" t="s">
        <v>282</v>
      </c>
      <c r="C149" s="1" t="s">
        <v>61</v>
      </c>
      <c r="D149" s="1" t="s">
        <v>144</v>
      </c>
      <c r="E149" s="1">
        <v>4</v>
      </c>
      <c r="F149" s="1" t="str">
        <f>_xlfn.XLOOKUP(C149,Customers!A:A,Customers!C:C,"MISSING")</f>
        <v>Delhi</v>
      </c>
      <c r="G149" s="1" t="str">
        <f>_xlfn.XLOOKUP(D149,Products!A:A,Products!C:C,"MISSING")</f>
        <v>Furniture</v>
      </c>
      <c r="H149" s="1">
        <f>_xlfn.XLOOKUP(D149,Products!A:A,Products!D:D,"MISSING")</f>
        <v>3000</v>
      </c>
      <c r="I149" s="1" t="str">
        <f t="shared" si="4"/>
        <v>Jan</v>
      </c>
      <c r="J149" s="1">
        <f t="shared" si="5"/>
        <v>12000</v>
      </c>
      <c r="K149" s="1" t="str">
        <f>_xlfn.XLOOKUP(C149,Customers!A:A,Customers!B:B,"MISSING")</f>
        <v>Rahul Sharma</v>
      </c>
      <c r="L149" s="1" t="str">
        <f>_xlfn.XLOOKUP(D149,Products!A:A,Products!B:B,"MISSING")</f>
        <v>Chair</v>
      </c>
    </row>
    <row r="150" spans="1:12">
      <c r="A150" s="1">
        <v>1149</v>
      </c>
      <c r="B150" s="1" t="s">
        <v>283</v>
      </c>
      <c r="C150" s="1" t="s">
        <v>79</v>
      </c>
      <c r="D150" s="1" t="s">
        <v>156</v>
      </c>
      <c r="E150" s="1">
        <v>5</v>
      </c>
      <c r="F150" s="1" t="str">
        <f>_xlfn.XLOOKUP(C150,Customers!A:A,Customers!C:C,"MISSING")</f>
        <v>Lucknow</v>
      </c>
      <c r="G150" s="1" t="str">
        <f>_xlfn.XLOOKUP(D150,Products!A:A,Products!C:C,"MISSING")</f>
        <v>Clothing</v>
      </c>
      <c r="H150" s="1">
        <f>_xlfn.XLOOKUP(D150,Products!A:A,Products!D:D,"MISSING")</f>
        <v>1800</v>
      </c>
      <c r="I150" s="1" t="str">
        <f t="shared" si="4"/>
        <v>Aug</v>
      </c>
      <c r="J150" s="1">
        <f t="shared" si="5"/>
        <v>9000</v>
      </c>
      <c r="K150" s="1" t="str">
        <f>_xlfn.XLOOKUP(C150,Customers!A:A,Customers!B:B,"MISSING")</f>
        <v>Rahul Sharma</v>
      </c>
      <c r="L150" s="1" t="str">
        <f>_xlfn.XLOOKUP(D150,Products!A:A,Products!B:B,"MISSING")</f>
        <v>Shirt</v>
      </c>
    </row>
    <row r="151" spans="1:12">
      <c r="A151" s="1">
        <v>1150</v>
      </c>
      <c r="B151" s="1" t="s">
        <v>284</v>
      </c>
      <c r="C151" s="1" t="s">
        <v>99</v>
      </c>
      <c r="D151" s="1" t="s">
        <v>156</v>
      </c>
      <c r="E151" s="1">
        <v>2</v>
      </c>
      <c r="F151" s="1" t="str">
        <f>_xlfn.XLOOKUP(C151,Customers!A:A,Customers!C:C,"MISSING")</f>
        <v>Pune</v>
      </c>
      <c r="G151" s="1" t="str">
        <f>_xlfn.XLOOKUP(D151,Products!A:A,Products!C:C,"MISSING")</f>
        <v>Clothing</v>
      </c>
      <c r="H151" s="1">
        <f>_xlfn.XLOOKUP(D151,Products!A:A,Products!D:D,"MISSING")</f>
        <v>1800</v>
      </c>
      <c r="I151" s="1" t="str">
        <f t="shared" si="4"/>
        <v>Sep</v>
      </c>
      <c r="J151" s="1">
        <f t="shared" si="5"/>
        <v>3600</v>
      </c>
      <c r="K151" s="1" t="str">
        <f>_xlfn.XLOOKUP(C151,Customers!A:A,Customers!B:B,"MISSING")</f>
        <v>Rohit Sen</v>
      </c>
      <c r="L151" s="1" t="str">
        <f>_xlfn.XLOOKUP(D151,Products!A:A,Products!B:B,"MISSING")</f>
        <v>Shirt</v>
      </c>
    </row>
    <row r="152" spans="1:12">
      <c r="A152" s="1">
        <v>1151</v>
      </c>
      <c r="B152" s="1" t="s">
        <v>247</v>
      </c>
      <c r="C152" s="1" t="s">
        <v>111</v>
      </c>
      <c r="D152" s="1" t="s">
        <v>142</v>
      </c>
      <c r="E152" s="1">
        <v>3</v>
      </c>
      <c r="F152" s="1" t="str">
        <f>_xlfn.XLOOKUP(C152,Customers!A:A,Customers!C:C,"MISSING")</f>
        <v>Delhi</v>
      </c>
      <c r="G152" s="1" t="str">
        <f>_xlfn.XLOOKUP(D152,Products!A:A,Products!C:C,"MISSING")</f>
        <v>Electronics</v>
      </c>
      <c r="H152" s="1">
        <f>_xlfn.XLOOKUP(D152,Products!A:A,Products!D:D,"MISSING")</f>
        <v>15000</v>
      </c>
      <c r="I152" s="1" t="str">
        <f t="shared" si="4"/>
        <v>Mar</v>
      </c>
      <c r="J152" s="1">
        <f t="shared" si="5"/>
        <v>45000</v>
      </c>
      <c r="K152" s="1" t="str">
        <f>_xlfn.XLOOKUP(C152,Customers!A:A,Customers!B:B,"MISSING")</f>
        <v>Sneha Iyer</v>
      </c>
      <c r="L152" s="1" t="str">
        <f>_xlfn.XLOOKUP(D152,Products!A:A,Products!B:B,"MISSING")</f>
        <v>Tablet</v>
      </c>
    </row>
    <row r="153" spans="1:12">
      <c r="A153" s="1">
        <v>1152</v>
      </c>
      <c r="B153" s="1" t="s">
        <v>218</v>
      </c>
      <c r="C153" s="1" t="s">
        <v>105</v>
      </c>
      <c r="D153" s="1" t="s">
        <v>144</v>
      </c>
      <c r="E153" s="1">
        <v>4</v>
      </c>
      <c r="F153" s="1" t="str">
        <f>_xlfn.XLOOKUP(C153,Customers!A:A,Customers!C:C,"MISSING")</f>
        <v>Bangalore</v>
      </c>
      <c r="G153" s="1" t="str">
        <f>_xlfn.XLOOKUP(D153,Products!A:A,Products!C:C,"MISSING")</f>
        <v>Furniture</v>
      </c>
      <c r="H153" s="1">
        <f>_xlfn.XLOOKUP(D153,Products!A:A,Products!D:D,"MISSING")</f>
        <v>3000</v>
      </c>
      <c r="I153" s="1" t="str">
        <f t="shared" si="4"/>
        <v>Mar</v>
      </c>
      <c r="J153" s="1">
        <f t="shared" si="5"/>
        <v>12000</v>
      </c>
      <c r="K153" s="1" t="str">
        <f>_xlfn.XLOOKUP(C153,Customers!A:A,Customers!B:B,"MISSING")</f>
        <v>Meera Kulkarni</v>
      </c>
      <c r="L153" s="1" t="str">
        <f>_xlfn.XLOOKUP(D153,Products!A:A,Products!B:B,"MISSING")</f>
        <v>Chair</v>
      </c>
    </row>
    <row r="154" spans="1:12">
      <c r="A154" s="1">
        <v>1153</v>
      </c>
      <c r="B154" s="1" t="s">
        <v>285</v>
      </c>
      <c r="C154" s="1" t="s">
        <v>62</v>
      </c>
      <c r="D154" s="1" t="s">
        <v>154</v>
      </c>
      <c r="E154" s="1">
        <v>5</v>
      </c>
      <c r="F154" s="1" t="str">
        <f>_xlfn.XLOOKUP(C154,Customers!A:A,Customers!C:C,"MISSING")</f>
        <v>Delhi</v>
      </c>
      <c r="G154" s="1" t="str">
        <f>_xlfn.XLOOKUP(D154,Products!A:A,Products!C:C,"MISSING")</f>
        <v>Clothing</v>
      </c>
      <c r="H154" s="1">
        <f>_xlfn.XLOOKUP(D154,Products!A:A,Products!D:D,"MISSING")</f>
        <v>2500</v>
      </c>
      <c r="I154" s="1" t="str">
        <f t="shared" si="4"/>
        <v>Aug</v>
      </c>
      <c r="J154" s="1">
        <f t="shared" si="5"/>
        <v>12500</v>
      </c>
      <c r="K154" s="1" t="str">
        <f>_xlfn.XLOOKUP(C154,Customers!A:A,Customers!B:B,"MISSING")</f>
        <v>Ravi Patel</v>
      </c>
      <c r="L154" s="1" t="str">
        <f>_xlfn.XLOOKUP(D154,Products!A:A,Products!B:B,"MISSING")</f>
        <v>Jeans</v>
      </c>
    </row>
    <row r="155" spans="1:12">
      <c r="A155" s="1">
        <v>1154</v>
      </c>
      <c r="B155" s="1" t="s">
        <v>203</v>
      </c>
      <c r="C155" s="1" t="s">
        <v>62</v>
      </c>
      <c r="D155" s="1" t="s">
        <v>156</v>
      </c>
      <c r="E155" s="1">
        <v>3</v>
      </c>
      <c r="F155" s="1" t="str">
        <f>_xlfn.XLOOKUP(C155,Customers!A:A,Customers!C:C,"MISSING")</f>
        <v>Delhi</v>
      </c>
      <c r="G155" s="1" t="str">
        <f>_xlfn.XLOOKUP(D155,Products!A:A,Products!C:C,"MISSING")</f>
        <v>Clothing</v>
      </c>
      <c r="H155" s="1">
        <f>_xlfn.XLOOKUP(D155,Products!A:A,Products!D:D,"MISSING")</f>
        <v>1800</v>
      </c>
      <c r="I155" s="1" t="str">
        <f t="shared" si="4"/>
        <v>Jun</v>
      </c>
      <c r="J155" s="1">
        <f t="shared" si="5"/>
        <v>5400</v>
      </c>
      <c r="K155" s="1" t="str">
        <f>_xlfn.XLOOKUP(C155,Customers!A:A,Customers!B:B,"MISSING")</f>
        <v>Ravi Patel</v>
      </c>
      <c r="L155" s="1" t="str">
        <f>_xlfn.XLOOKUP(D155,Products!A:A,Products!B:B,"MISSING")</f>
        <v>Shirt</v>
      </c>
    </row>
    <row r="156" spans="1:12">
      <c r="A156" s="1">
        <v>1155</v>
      </c>
      <c r="B156" s="1" t="s">
        <v>286</v>
      </c>
      <c r="C156" s="1" t="s">
        <v>51</v>
      </c>
      <c r="D156" s="1" t="s">
        <v>140</v>
      </c>
      <c r="E156" s="1">
        <v>1</v>
      </c>
      <c r="F156" s="1" t="str">
        <f>_xlfn.XLOOKUP(C156,Customers!A:A,Customers!C:C,"MISSING")</f>
        <v>Mumbai</v>
      </c>
      <c r="G156" s="1" t="str">
        <f>_xlfn.XLOOKUP(D156,Products!A:A,Products!C:C,"MISSING")</f>
        <v>Electronics</v>
      </c>
      <c r="H156" s="1">
        <f>_xlfn.XLOOKUP(D156,Products!A:A,Products!D:D,"MISSING")</f>
        <v>20000</v>
      </c>
      <c r="I156" s="1" t="str">
        <f t="shared" si="4"/>
        <v>Nov</v>
      </c>
      <c r="J156" s="1">
        <f t="shared" si="5"/>
        <v>20000</v>
      </c>
      <c r="K156" s="1" t="str">
        <f>_xlfn.XLOOKUP(C156,Customers!A:A,Customers!B:B,"MISSING")</f>
        <v>Rahul Sharma</v>
      </c>
      <c r="L156" s="1" t="str">
        <f>_xlfn.XLOOKUP(D156,Products!A:A,Products!B:B,"MISSING")</f>
        <v>Mobile</v>
      </c>
    </row>
    <row r="157" spans="1:12">
      <c r="A157" s="1">
        <v>1156</v>
      </c>
      <c r="B157" s="1" t="s">
        <v>287</v>
      </c>
      <c r="C157" s="1" t="s">
        <v>97</v>
      </c>
      <c r="D157" s="1" t="s">
        <v>140</v>
      </c>
      <c r="E157" s="1">
        <v>5</v>
      </c>
      <c r="F157" s="1" t="str">
        <f>_xlfn.XLOOKUP(C157,Customers!A:A,Customers!C:C,"MISSING")</f>
        <v>Kolkata</v>
      </c>
      <c r="G157" s="1" t="str">
        <f>_xlfn.XLOOKUP(D157,Products!A:A,Products!C:C,"MISSING")</f>
        <v>Electronics</v>
      </c>
      <c r="H157" s="1">
        <f>_xlfn.XLOOKUP(D157,Products!A:A,Products!D:D,"MISSING")</f>
        <v>20000</v>
      </c>
      <c r="I157" s="1" t="str">
        <f t="shared" si="4"/>
        <v>Mar</v>
      </c>
      <c r="J157" s="1">
        <f t="shared" si="5"/>
        <v>100000</v>
      </c>
      <c r="K157" s="1" t="str">
        <f>_xlfn.XLOOKUP(C157,Customers!A:A,Customers!B:B,"MISSING")</f>
        <v>Rohit Sen</v>
      </c>
      <c r="L157" s="1" t="str">
        <f>_xlfn.XLOOKUP(D157,Products!A:A,Products!B:B,"MISSING")</f>
        <v>Mobile</v>
      </c>
    </row>
    <row r="158" spans="1:12">
      <c r="A158" s="1">
        <v>1157</v>
      </c>
      <c r="B158" s="1" t="s">
        <v>288</v>
      </c>
      <c r="C158" s="1" t="s">
        <v>80</v>
      </c>
      <c r="D158" s="1" t="s">
        <v>158</v>
      </c>
      <c r="E158" s="1">
        <v>4</v>
      </c>
      <c r="F158" s="1" t="str">
        <f>_xlfn.XLOOKUP(C158,Customers!A:A,Customers!C:C,"MISSING")</f>
        <v>Kolkata</v>
      </c>
      <c r="G158" s="1" t="str">
        <f>_xlfn.XLOOKUP(D158,Products!A:A,Products!C:C,"MISSING")</f>
        <v>Clothing</v>
      </c>
      <c r="H158" s="1">
        <f>_xlfn.XLOOKUP(D158,Products!A:A,Products!D:D,"MISSING")</f>
        <v>3500</v>
      </c>
      <c r="I158" s="1" t="str">
        <f t="shared" si="4"/>
        <v>Jul</v>
      </c>
      <c r="J158" s="1">
        <f t="shared" si="5"/>
        <v>14000</v>
      </c>
      <c r="K158" s="1" t="str">
        <f>_xlfn.XLOOKUP(C158,Customers!A:A,Customers!B:B,"MISSING")</f>
        <v>Arjun Malhotra</v>
      </c>
      <c r="L158" s="1" t="str">
        <f>_xlfn.XLOOKUP(D158,Products!A:A,Products!B:B,"MISSING")</f>
        <v>Shoes</v>
      </c>
    </row>
    <row r="159" spans="1:12">
      <c r="A159" s="1">
        <v>1158</v>
      </c>
      <c r="B159" s="1" t="s">
        <v>289</v>
      </c>
      <c r="C159" s="1" t="s">
        <v>118</v>
      </c>
      <c r="D159" s="1" t="s">
        <v>156</v>
      </c>
      <c r="E159" s="1">
        <v>4</v>
      </c>
      <c r="F159" s="1" t="str">
        <f>_xlfn.XLOOKUP(C159,Customers!A:A,Customers!C:C,"MISSING")</f>
        <v>Hyderabad</v>
      </c>
      <c r="G159" s="1" t="str">
        <f>_xlfn.XLOOKUP(D159,Products!A:A,Products!C:C,"MISSING")</f>
        <v>Clothing</v>
      </c>
      <c r="H159" s="1">
        <f>_xlfn.XLOOKUP(D159,Products!A:A,Products!D:D,"MISSING")</f>
        <v>1800</v>
      </c>
      <c r="I159" s="1" t="str">
        <f t="shared" si="4"/>
        <v>Nov</v>
      </c>
      <c r="J159" s="1">
        <f t="shared" si="5"/>
        <v>7200</v>
      </c>
      <c r="K159" s="1" t="str">
        <f>_xlfn.XLOOKUP(C159,Customers!A:A,Customers!B:B,"MISSING")</f>
        <v>Riya Das</v>
      </c>
      <c r="L159" s="1" t="str">
        <f>_xlfn.XLOOKUP(D159,Products!A:A,Products!B:B,"MISSING")</f>
        <v>Shirt</v>
      </c>
    </row>
    <row r="160" spans="1:12">
      <c r="A160" s="1">
        <v>1159</v>
      </c>
      <c r="B160" s="1" t="s">
        <v>242</v>
      </c>
      <c r="C160" s="1" t="s">
        <v>65</v>
      </c>
      <c r="D160" s="1" t="s">
        <v>154</v>
      </c>
      <c r="E160" s="1">
        <v>2</v>
      </c>
      <c r="F160" s="1" t="str">
        <f>_xlfn.XLOOKUP(C160,Customers!A:A,Customers!C:C,"MISSING")</f>
        <v>Hyderabad</v>
      </c>
      <c r="G160" s="1" t="str">
        <f>_xlfn.XLOOKUP(D160,Products!A:A,Products!C:C,"MISSING")</f>
        <v>Clothing</v>
      </c>
      <c r="H160" s="1">
        <f>_xlfn.XLOOKUP(D160,Products!A:A,Products!D:D,"MISSING")</f>
        <v>2500</v>
      </c>
      <c r="I160" s="1" t="str">
        <f t="shared" si="4"/>
        <v>Jan</v>
      </c>
      <c r="J160" s="1">
        <f t="shared" si="5"/>
        <v>5000</v>
      </c>
      <c r="K160" s="1" t="str">
        <f>_xlfn.XLOOKUP(C160,Customers!A:A,Customers!B:B,"MISSING")</f>
        <v>Sneha Iyer</v>
      </c>
      <c r="L160" s="1" t="str">
        <f>_xlfn.XLOOKUP(D160,Products!A:A,Products!B:B,"MISSING")</f>
        <v>Jeans</v>
      </c>
    </row>
    <row r="161" spans="1:12">
      <c r="A161" s="1">
        <v>1160</v>
      </c>
      <c r="B161" s="1" t="s">
        <v>290</v>
      </c>
      <c r="C161" s="1" t="s">
        <v>110</v>
      </c>
      <c r="D161" s="1" t="s">
        <v>156</v>
      </c>
      <c r="E161" s="1">
        <v>3</v>
      </c>
      <c r="F161" s="1" t="str">
        <f>_xlfn.XLOOKUP(C161,Customers!A:A,Customers!C:C,"MISSING")</f>
        <v>Delhi</v>
      </c>
      <c r="G161" s="1" t="str">
        <f>_xlfn.XLOOKUP(D161,Products!A:A,Products!C:C,"MISSING")</f>
        <v>Clothing</v>
      </c>
      <c r="H161" s="1">
        <f>_xlfn.XLOOKUP(D161,Products!A:A,Products!D:D,"MISSING")</f>
        <v>1800</v>
      </c>
      <c r="I161" s="1" t="str">
        <f t="shared" si="4"/>
        <v>Jul</v>
      </c>
      <c r="J161" s="1">
        <f t="shared" si="5"/>
        <v>5400</v>
      </c>
      <c r="K161" s="1" t="str">
        <f>_xlfn.XLOOKUP(C161,Customers!A:A,Customers!B:B,"MISSING")</f>
        <v>Meera Kulkarni</v>
      </c>
      <c r="L161" s="1" t="str">
        <f>_xlfn.XLOOKUP(D161,Products!A:A,Products!B:B,"MISSING")</f>
        <v>Shirt</v>
      </c>
    </row>
    <row r="162" spans="1:12">
      <c r="A162" s="1">
        <v>1161</v>
      </c>
      <c r="B162" s="1" t="s">
        <v>291</v>
      </c>
      <c r="C162" s="1" t="s">
        <v>56</v>
      </c>
      <c r="D162" s="1" t="s">
        <v>147</v>
      </c>
      <c r="E162" s="1">
        <v>3</v>
      </c>
      <c r="F162" s="1" t="str">
        <f>_xlfn.XLOOKUP(C162,Customers!A:A,Customers!C:C,"MISSING")</f>
        <v>Bangalore</v>
      </c>
      <c r="G162" s="1" t="str">
        <f>_xlfn.XLOOKUP(D162,Products!A:A,Products!C:C,"MISSING")</f>
        <v>Furniture</v>
      </c>
      <c r="H162" s="1">
        <f>_xlfn.XLOOKUP(D162,Products!A:A,Products!D:D,"MISSING")</f>
        <v>7000</v>
      </c>
      <c r="I162" s="1" t="str">
        <f t="shared" si="4"/>
        <v>Dec</v>
      </c>
      <c r="J162" s="1">
        <f t="shared" si="5"/>
        <v>21000</v>
      </c>
      <c r="K162" s="1" t="str">
        <f>_xlfn.XLOOKUP(C162,Customers!A:A,Customers!B:B,"MISSING")</f>
        <v>Karan Mehta</v>
      </c>
      <c r="L162" s="1" t="str">
        <f>_xlfn.XLOOKUP(D162,Products!A:A,Products!B:B,"MISSING")</f>
        <v>Table</v>
      </c>
    </row>
    <row r="163" spans="1:12">
      <c r="A163" s="1">
        <v>1162</v>
      </c>
      <c r="B163" s="1" t="s">
        <v>282</v>
      </c>
      <c r="C163" s="1" t="s">
        <v>61</v>
      </c>
      <c r="D163" s="1" t="s">
        <v>158</v>
      </c>
      <c r="E163" s="1">
        <v>4</v>
      </c>
      <c r="F163" s="1" t="str">
        <f>_xlfn.XLOOKUP(C163,Customers!A:A,Customers!C:C,"MISSING")</f>
        <v>Delhi</v>
      </c>
      <c r="G163" s="1" t="str">
        <f>_xlfn.XLOOKUP(D163,Products!A:A,Products!C:C,"MISSING")</f>
        <v>Clothing</v>
      </c>
      <c r="H163" s="1">
        <f>_xlfn.XLOOKUP(D163,Products!A:A,Products!D:D,"MISSING")</f>
        <v>3500</v>
      </c>
      <c r="I163" s="1" t="str">
        <f t="shared" si="4"/>
        <v>Jan</v>
      </c>
      <c r="J163" s="1">
        <f t="shared" si="5"/>
        <v>14000</v>
      </c>
      <c r="K163" s="1" t="str">
        <f>_xlfn.XLOOKUP(C163,Customers!A:A,Customers!B:B,"MISSING")</f>
        <v>Rahul Sharma</v>
      </c>
      <c r="L163" s="1" t="str">
        <f>_xlfn.XLOOKUP(D163,Products!A:A,Products!B:B,"MISSING")</f>
        <v>Shoes</v>
      </c>
    </row>
    <row r="164" spans="1:12">
      <c r="A164" s="1">
        <v>1163</v>
      </c>
      <c r="B164" s="1" t="s">
        <v>292</v>
      </c>
      <c r="C164" s="1" t="s">
        <v>26</v>
      </c>
      <c r="D164" s="1" t="s">
        <v>151</v>
      </c>
      <c r="E164" s="1">
        <v>3</v>
      </c>
      <c r="F164" s="1" t="str">
        <f>_xlfn.XLOOKUP(C164,Customers!A:A,Customers!C:C,"MISSING")</f>
        <v>Ahmedabad</v>
      </c>
      <c r="G164" s="1" t="str">
        <f>_xlfn.XLOOKUP(D164,Products!A:A,Products!C:C,"MISSING")</f>
        <v>Clothing</v>
      </c>
      <c r="H164" s="1">
        <f>_xlfn.XLOOKUP(D164,Products!A:A,Products!D:D,"MISSING")</f>
        <v>1500</v>
      </c>
      <c r="I164" s="1" t="str">
        <f t="shared" si="4"/>
        <v>Oct</v>
      </c>
      <c r="J164" s="1">
        <f t="shared" si="5"/>
        <v>4500</v>
      </c>
      <c r="K164" s="1" t="str">
        <f>_xlfn.XLOOKUP(C164,Customers!A:A,Customers!B:B,"MISSING")</f>
        <v>Arjun Malhotra</v>
      </c>
      <c r="L164" s="1" t="str">
        <f>_xlfn.XLOOKUP(D164,Products!A:A,Products!B:B,"MISSING")</f>
        <v>T-Shirt</v>
      </c>
    </row>
    <row r="165" spans="1:12">
      <c r="A165" s="1">
        <v>1164</v>
      </c>
      <c r="B165" s="1" t="s">
        <v>293</v>
      </c>
      <c r="C165" s="1" t="s">
        <v>93</v>
      </c>
      <c r="D165" s="1" t="s">
        <v>142</v>
      </c>
      <c r="E165" s="1">
        <v>1</v>
      </c>
      <c r="F165" s="1" t="str">
        <f>_xlfn.XLOOKUP(C165,Customers!A:A,Customers!C:C,"MISSING")</f>
        <v>Lucknow</v>
      </c>
      <c r="G165" s="1" t="str">
        <f>_xlfn.XLOOKUP(D165,Products!A:A,Products!C:C,"MISSING")</f>
        <v>Electronics</v>
      </c>
      <c r="H165" s="1">
        <f>_xlfn.XLOOKUP(D165,Products!A:A,Products!D:D,"MISSING")</f>
        <v>15000</v>
      </c>
      <c r="I165" s="1" t="str">
        <f t="shared" si="4"/>
        <v>Jun</v>
      </c>
      <c r="J165" s="1">
        <f t="shared" si="5"/>
        <v>15000</v>
      </c>
      <c r="K165" s="1" t="str">
        <f>_xlfn.XLOOKUP(C165,Customers!A:A,Customers!B:B,"MISSING")</f>
        <v>Ankit Roy</v>
      </c>
      <c r="L165" s="1" t="str">
        <f>_xlfn.XLOOKUP(D165,Products!A:A,Products!B:B,"MISSING")</f>
        <v>Tablet</v>
      </c>
    </row>
    <row r="166" spans="1:12">
      <c r="A166" s="1">
        <v>1165</v>
      </c>
      <c r="B166" s="1" t="s">
        <v>187</v>
      </c>
      <c r="C166" s="1" t="s">
        <v>67</v>
      </c>
      <c r="D166" s="1" t="s">
        <v>151</v>
      </c>
      <c r="E166" s="1">
        <v>5</v>
      </c>
      <c r="F166" s="1" t="str">
        <f>_xlfn.XLOOKUP(C166,Customers!A:A,Customers!C:C,"MISSING")</f>
        <v>Mumbai</v>
      </c>
      <c r="G166" s="1" t="str">
        <f>_xlfn.XLOOKUP(D166,Products!A:A,Products!C:C,"MISSING")</f>
        <v>Clothing</v>
      </c>
      <c r="H166" s="1">
        <f>_xlfn.XLOOKUP(D166,Products!A:A,Products!D:D,"MISSING")</f>
        <v>1500</v>
      </c>
      <c r="I166" s="1" t="str">
        <f t="shared" si="4"/>
        <v>Feb</v>
      </c>
      <c r="J166" s="1">
        <f t="shared" si="5"/>
        <v>7500</v>
      </c>
      <c r="K166" s="1" t="str">
        <f>_xlfn.XLOOKUP(C166,Customers!A:A,Customers!B:B,"MISSING")</f>
        <v>Nitin Joshi</v>
      </c>
      <c r="L166" s="1" t="str">
        <f>_xlfn.XLOOKUP(D166,Products!A:A,Products!B:B,"MISSING")</f>
        <v>T-Shirt</v>
      </c>
    </row>
    <row r="167" spans="1:12">
      <c r="A167" s="1">
        <v>1166</v>
      </c>
      <c r="B167" s="1" t="s">
        <v>294</v>
      </c>
      <c r="C167" s="1" t="s">
        <v>131</v>
      </c>
      <c r="D167" s="1" t="s">
        <v>144</v>
      </c>
      <c r="E167" s="1">
        <v>4</v>
      </c>
      <c r="F167" s="1" t="str">
        <f>_xlfn.XLOOKUP(C167,Customers!A:A,Customers!C:C,"MISSING")</f>
        <v>Bangalore</v>
      </c>
      <c r="G167" s="1" t="str">
        <f>_xlfn.XLOOKUP(D167,Products!A:A,Products!C:C,"MISSING")</f>
        <v>Furniture</v>
      </c>
      <c r="H167" s="1">
        <f>_xlfn.XLOOKUP(D167,Products!A:A,Products!D:D,"MISSING")</f>
        <v>3000</v>
      </c>
      <c r="I167" s="1" t="str">
        <f t="shared" si="4"/>
        <v>Jan</v>
      </c>
      <c r="J167" s="1">
        <f t="shared" si="5"/>
        <v>12000</v>
      </c>
      <c r="K167" s="1" t="str">
        <f>_xlfn.XLOOKUP(C167,Customers!A:A,Customers!B:B,"MISSING")</f>
        <v>Priya Kapoor</v>
      </c>
      <c r="L167" s="1" t="str">
        <f>_xlfn.XLOOKUP(D167,Products!A:A,Products!B:B,"MISSING")</f>
        <v>Chair</v>
      </c>
    </row>
    <row r="168" spans="1:12">
      <c r="A168" s="1">
        <v>1167</v>
      </c>
      <c r="B168" s="1" t="s">
        <v>295</v>
      </c>
      <c r="C168" s="1" t="s">
        <v>63</v>
      </c>
      <c r="D168" s="1" t="s">
        <v>158</v>
      </c>
      <c r="E168" s="1">
        <v>4</v>
      </c>
      <c r="F168" s="1" t="str">
        <f>_xlfn.XLOOKUP(C168,Customers!A:A,Customers!C:C,"MISSING")</f>
        <v>Delhi</v>
      </c>
      <c r="G168" s="1" t="str">
        <f>_xlfn.XLOOKUP(D168,Products!A:A,Products!C:C,"MISSING")</f>
        <v>Clothing</v>
      </c>
      <c r="H168" s="1">
        <f>_xlfn.XLOOKUP(D168,Products!A:A,Products!D:D,"MISSING")</f>
        <v>3500</v>
      </c>
      <c r="I168" s="1" t="str">
        <f t="shared" si="4"/>
        <v>Jan</v>
      </c>
      <c r="J168" s="1">
        <f t="shared" si="5"/>
        <v>14000</v>
      </c>
      <c r="K168" s="1" t="str">
        <f>_xlfn.XLOOKUP(C168,Customers!A:A,Customers!B:B,"MISSING")</f>
        <v>Vikas Nair</v>
      </c>
      <c r="L168" s="1" t="str">
        <f>_xlfn.XLOOKUP(D168,Products!A:A,Products!B:B,"MISSING")</f>
        <v>Shoes</v>
      </c>
    </row>
    <row r="169" spans="1:12">
      <c r="A169" s="1">
        <v>1168</v>
      </c>
      <c r="B169" s="1" t="s">
        <v>296</v>
      </c>
      <c r="C169" s="1" t="s">
        <v>42</v>
      </c>
      <c r="D169" s="1" t="s">
        <v>140</v>
      </c>
      <c r="E169" s="1">
        <v>1</v>
      </c>
      <c r="F169" s="1" t="str">
        <f>_xlfn.XLOOKUP(C169,Customers!A:A,Customers!C:C,"MISSING")</f>
        <v>Ahmedabad</v>
      </c>
      <c r="G169" s="1" t="str">
        <f>_xlfn.XLOOKUP(D169,Products!A:A,Products!C:C,"MISSING")</f>
        <v>Electronics</v>
      </c>
      <c r="H169" s="1">
        <f>_xlfn.XLOOKUP(D169,Products!A:A,Products!D:D,"MISSING")</f>
        <v>20000</v>
      </c>
      <c r="I169" s="1" t="str">
        <f t="shared" si="4"/>
        <v>Jan</v>
      </c>
      <c r="J169" s="1">
        <f t="shared" si="5"/>
        <v>20000</v>
      </c>
      <c r="K169" s="1" t="str">
        <f>_xlfn.XLOOKUP(C169,Customers!A:A,Customers!B:B,"MISSING")</f>
        <v>Ankit Roy</v>
      </c>
      <c r="L169" s="1" t="str">
        <f>_xlfn.XLOOKUP(D169,Products!A:A,Products!B:B,"MISSING")</f>
        <v>Mobile</v>
      </c>
    </row>
    <row r="170" spans="1:12">
      <c r="A170" s="1">
        <v>1169</v>
      </c>
      <c r="B170" s="1" t="s">
        <v>189</v>
      </c>
      <c r="C170" s="1" t="s">
        <v>85</v>
      </c>
      <c r="D170" s="1" t="s">
        <v>149</v>
      </c>
      <c r="E170" s="1">
        <v>2</v>
      </c>
      <c r="F170" s="1" t="str">
        <f>_xlfn.XLOOKUP(C170,Customers!A:A,Customers!C:C,"MISSING")</f>
        <v>Delhi</v>
      </c>
      <c r="G170" s="1" t="str">
        <f>_xlfn.XLOOKUP(D170,Products!A:A,Products!C:C,"MISSING")</f>
        <v>Furniture</v>
      </c>
      <c r="H170" s="1">
        <f>_xlfn.XLOOKUP(D170,Products!A:A,Products!D:D,"MISSING")</f>
        <v>25000</v>
      </c>
      <c r="I170" s="1" t="str">
        <f t="shared" si="4"/>
        <v>Oct</v>
      </c>
      <c r="J170" s="1">
        <f t="shared" si="5"/>
        <v>50000</v>
      </c>
      <c r="K170" s="1" t="str">
        <f>_xlfn.XLOOKUP(C170,Customers!A:A,Customers!B:B,"MISSING")</f>
        <v>Manav Arora</v>
      </c>
      <c r="L170" s="1" t="str">
        <f>_xlfn.XLOOKUP(D170,Products!A:A,Products!B:B,"MISSING")</f>
        <v>Sofa</v>
      </c>
    </row>
    <row r="171" spans="1:12">
      <c r="A171" s="1">
        <v>1170</v>
      </c>
      <c r="B171" s="1" t="s">
        <v>297</v>
      </c>
      <c r="C171" s="1" t="s">
        <v>67</v>
      </c>
      <c r="D171" s="1" t="s">
        <v>156</v>
      </c>
      <c r="E171" s="1">
        <v>4</v>
      </c>
      <c r="F171" s="1" t="str">
        <f>_xlfn.XLOOKUP(C171,Customers!A:A,Customers!C:C,"MISSING")</f>
        <v>Mumbai</v>
      </c>
      <c r="G171" s="1" t="str">
        <f>_xlfn.XLOOKUP(D171,Products!A:A,Products!C:C,"MISSING")</f>
        <v>Clothing</v>
      </c>
      <c r="H171" s="1">
        <f>_xlfn.XLOOKUP(D171,Products!A:A,Products!D:D,"MISSING")</f>
        <v>1800</v>
      </c>
      <c r="I171" s="1" t="str">
        <f t="shared" si="4"/>
        <v>Apr</v>
      </c>
      <c r="J171" s="1">
        <f t="shared" si="5"/>
        <v>7200</v>
      </c>
      <c r="K171" s="1" t="str">
        <f>_xlfn.XLOOKUP(C171,Customers!A:A,Customers!B:B,"MISSING")</f>
        <v>Nitin Joshi</v>
      </c>
      <c r="L171" s="1" t="str">
        <f>_xlfn.XLOOKUP(D171,Products!A:A,Products!B:B,"MISSING")</f>
        <v>Shirt</v>
      </c>
    </row>
    <row r="172" spans="1:12">
      <c r="A172" s="1">
        <v>1171</v>
      </c>
      <c r="B172" s="1" t="s">
        <v>298</v>
      </c>
      <c r="C172" s="1" t="s">
        <v>61</v>
      </c>
      <c r="D172" s="1" t="s">
        <v>158</v>
      </c>
      <c r="E172" s="1">
        <v>4</v>
      </c>
      <c r="F172" s="1" t="str">
        <f>_xlfn.XLOOKUP(C172,Customers!A:A,Customers!C:C,"MISSING")</f>
        <v>Delhi</v>
      </c>
      <c r="G172" s="1" t="str">
        <f>_xlfn.XLOOKUP(D172,Products!A:A,Products!C:C,"MISSING")</f>
        <v>Clothing</v>
      </c>
      <c r="H172" s="1">
        <f>_xlfn.XLOOKUP(D172,Products!A:A,Products!D:D,"MISSING")</f>
        <v>3500</v>
      </c>
      <c r="I172" s="1" t="str">
        <f t="shared" si="4"/>
        <v>Feb</v>
      </c>
      <c r="J172" s="1">
        <f t="shared" si="5"/>
        <v>14000</v>
      </c>
      <c r="K172" s="1" t="str">
        <f>_xlfn.XLOOKUP(C172,Customers!A:A,Customers!B:B,"MISSING")</f>
        <v>Rahul Sharma</v>
      </c>
      <c r="L172" s="1" t="str">
        <f>_xlfn.XLOOKUP(D172,Products!A:A,Products!B:B,"MISSING")</f>
        <v>Shoes</v>
      </c>
    </row>
    <row r="173" spans="1:12">
      <c r="A173" s="1">
        <v>1172</v>
      </c>
      <c r="B173" s="1" t="s">
        <v>163</v>
      </c>
      <c r="C173" s="1" t="s">
        <v>78</v>
      </c>
      <c r="D173" s="1" t="s">
        <v>158</v>
      </c>
      <c r="E173" s="1">
        <v>1</v>
      </c>
      <c r="F173" s="1" t="str">
        <f>_xlfn.XLOOKUP(C173,Customers!A:A,Customers!C:C,"MISSING")</f>
        <v>Ahmedabad</v>
      </c>
      <c r="G173" s="1" t="str">
        <f>_xlfn.XLOOKUP(D173,Products!A:A,Products!C:C,"MISSING")</f>
        <v>Clothing</v>
      </c>
      <c r="H173" s="1">
        <f>_xlfn.XLOOKUP(D173,Products!A:A,Products!D:D,"MISSING")</f>
        <v>3500</v>
      </c>
      <c r="I173" s="1" t="str">
        <f t="shared" si="4"/>
        <v>Nov</v>
      </c>
      <c r="J173" s="1">
        <f t="shared" si="5"/>
        <v>3500</v>
      </c>
      <c r="K173" s="1" t="str">
        <f>_xlfn.XLOOKUP(C173,Customers!A:A,Customers!B:B,"MISSING")</f>
        <v>Priya Kapoor</v>
      </c>
      <c r="L173" s="1" t="str">
        <f>_xlfn.XLOOKUP(D173,Products!A:A,Products!B:B,"MISSING")</f>
        <v>Shoes</v>
      </c>
    </row>
    <row r="174" spans="1:12">
      <c r="A174" s="1">
        <v>1173</v>
      </c>
      <c r="B174" s="1" t="s">
        <v>169</v>
      </c>
      <c r="C174" s="1" t="s">
        <v>11</v>
      </c>
      <c r="D174" s="1" t="s">
        <v>156</v>
      </c>
      <c r="E174" s="1">
        <v>4</v>
      </c>
      <c r="F174" s="1" t="str">
        <f>_xlfn.XLOOKUP(C174,Customers!A:A,Customers!C:C,"MISSING")</f>
        <v>Chennai</v>
      </c>
      <c r="G174" s="1" t="str">
        <f>_xlfn.XLOOKUP(D174,Products!A:A,Products!C:C,"MISSING")</f>
        <v>Clothing</v>
      </c>
      <c r="H174" s="1">
        <f>_xlfn.XLOOKUP(D174,Products!A:A,Products!D:D,"MISSING")</f>
        <v>1800</v>
      </c>
      <c r="I174" s="1" t="str">
        <f t="shared" si="4"/>
        <v>Jan</v>
      </c>
      <c r="J174" s="1">
        <f t="shared" si="5"/>
        <v>7200</v>
      </c>
      <c r="K174" s="1" t="str">
        <f>_xlfn.XLOOKUP(C174,Customers!A:A,Customers!B:B,"MISSING")</f>
        <v>Sneha Iyer</v>
      </c>
      <c r="L174" s="1" t="str">
        <f>_xlfn.XLOOKUP(D174,Products!A:A,Products!B:B,"MISSING")</f>
        <v>Shirt</v>
      </c>
    </row>
    <row r="175" spans="1:12">
      <c r="A175" s="1">
        <v>1174</v>
      </c>
      <c r="B175" s="1" t="s">
        <v>299</v>
      </c>
      <c r="C175" s="1" t="s">
        <v>39</v>
      </c>
      <c r="D175" s="1" t="s">
        <v>140</v>
      </c>
      <c r="E175" s="1">
        <v>1</v>
      </c>
      <c r="F175" s="1" t="str">
        <f>_xlfn.XLOOKUP(C175,Customers!A:A,Customers!C:C,"MISSING")</f>
        <v>Lucknow</v>
      </c>
      <c r="G175" s="1" t="str">
        <f>_xlfn.XLOOKUP(D175,Products!A:A,Products!C:C,"MISSING")</f>
        <v>Electronics</v>
      </c>
      <c r="H175" s="1">
        <f>_xlfn.XLOOKUP(D175,Products!A:A,Products!D:D,"MISSING")</f>
        <v>20000</v>
      </c>
      <c r="I175" s="1" t="str">
        <f t="shared" si="4"/>
        <v>Apr</v>
      </c>
      <c r="J175" s="1">
        <f t="shared" si="5"/>
        <v>20000</v>
      </c>
      <c r="K175" s="1" t="str">
        <f>_xlfn.XLOOKUP(C175,Customers!A:A,Customers!B:B,"MISSING")</f>
        <v>Priya Kapoor</v>
      </c>
      <c r="L175" s="1" t="str">
        <f>_xlfn.XLOOKUP(D175,Products!A:A,Products!B:B,"MISSING")</f>
        <v>Mobile</v>
      </c>
    </row>
    <row r="176" spans="1:12">
      <c r="A176" s="1">
        <v>1175</v>
      </c>
      <c r="B176" s="1" t="s">
        <v>300</v>
      </c>
      <c r="C176" s="1" t="s">
        <v>60</v>
      </c>
      <c r="D176" s="1" t="s">
        <v>151</v>
      </c>
      <c r="E176" s="1">
        <v>4</v>
      </c>
      <c r="F176" s="1" t="str">
        <f>_xlfn.XLOOKUP(C176,Customers!A:A,Customers!C:C,"MISSING")</f>
        <v>Delhi</v>
      </c>
      <c r="G176" s="1" t="str">
        <f>_xlfn.XLOOKUP(D176,Products!A:A,Products!C:C,"MISSING")</f>
        <v>Clothing</v>
      </c>
      <c r="H176" s="1">
        <f>_xlfn.XLOOKUP(D176,Products!A:A,Products!D:D,"MISSING")</f>
        <v>1500</v>
      </c>
      <c r="I176" s="1" t="str">
        <f t="shared" si="4"/>
        <v>Jul</v>
      </c>
      <c r="J176" s="1">
        <f t="shared" si="5"/>
        <v>6000</v>
      </c>
      <c r="K176" s="1" t="str">
        <f>_xlfn.XLOOKUP(C176,Customers!A:A,Customers!B:B,"MISSING")</f>
        <v>Amit Verma</v>
      </c>
      <c r="L176" s="1" t="str">
        <f>_xlfn.XLOOKUP(D176,Products!A:A,Products!B:B,"MISSING")</f>
        <v>T-Shirt</v>
      </c>
    </row>
    <row r="177" spans="1:12">
      <c r="A177" s="1">
        <v>1176</v>
      </c>
      <c r="B177" s="1" t="s">
        <v>301</v>
      </c>
      <c r="C177" s="1" t="s">
        <v>88</v>
      </c>
      <c r="D177" s="1" t="s">
        <v>144</v>
      </c>
      <c r="E177" s="1">
        <v>3</v>
      </c>
      <c r="F177" s="1" t="str">
        <f>_xlfn.XLOOKUP(C177,Customers!A:A,Customers!C:C,"MISSING")</f>
        <v>Delhi</v>
      </c>
      <c r="G177" s="1" t="str">
        <f>_xlfn.XLOOKUP(D177,Products!A:A,Products!C:C,"MISSING")</f>
        <v>Furniture</v>
      </c>
      <c r="H177" s="1">
        <f>_xlfn.XLOOKUP(D177,Products!A:A,Products!D:D,"MISSING")</f>
        <v>3000</v>
      </c>
      <c r="I177" s="1" t="str">
        <f t="shared" si="4"/>
        <v>Oct</v>
      </c>
      <c r="J177" s="1">
        <f t="shared" si="5"/>
        <v>9000</v>
      </c>
      <c r="K177" s="1" t="str">
        <f>_xlfn.XLOOKUP(C177,Customers!A:A,Customers!B:B,"MISSING")</f>
        <v>Rahul Sharma</v>
      </c>
      <c r="L177" s="1" t="str">
        <f>_xlfn.XLOOKUP(D177,Products!A:A,Products!B:B,"MISSING")</f>
        <v>Chair</v>
      </c>
    </row>
    <row r="178" spans="1:12">
      <c r="A178" s="1">
        <v>1177</v>
      </c>
      <c r="B178" s="1" t="s">
        <v>184</v>
      </c>
      <c r="C178" s="1" t="s">
        <v>76</v>
      </c>
      <c r="D178" s="1" t="s">
        <v>142</v>
      </c>
      <c r="E178" s="1">
        <v>4</v>
      </c>
      <c r="F178" s="1" t="str">
        <f>_xlfn.XLOOKUP(C178,Customers!A:A,Customers!C:C,"MISSING")</f>
        <v>Ahmedabad</v>
      </c>
      <c r="G178" s="1" t="str">
        <f>_xlfn.XLOOKUP(D178,Products!A:A,Products!C:C,"MISSING")</f>
        <v>Electronics</v>
      </c>
      <c r="H178" s="1">
        <f>_xlfn.XLOOKUP(D178,Products!A:A,Products!D:D,"MISSING")</f>
        <v>15000</v>
      </c>
      <c r="I178" s="1" t="str">
        <f t="shared" si="4"/>
        <v>Aug</v>
      </c>
      <c r="J178" s="1">
        <f t="shared" si="5"/>
        <v>60000</v>
      </c>
      <c r="K178" s="1" t="str">
        <f>_xlfn.XLOOKUP(C178,Customers!A:A,Customers!B:B,"MISSING")</f>
        <v>Riya Das</v>
      </c>
      <c r="L178" s="1" t="str">
        <f>_xlfn.XLOOKUP(D178,Products!A:A,Products!B:B,"MISSING")</f>
        <v>Tablet</v>
      </c>
    </row>
    <row r="179" spans="1:12">
      <c r="A179" s="1">
        <v>1178</v>
      </c>
      <c r="B179" s="1" t="s">
        <v>302</v>
      </c>
      <c r="C179" s="1" t="s">
        <v>128</v>
      </c>
      <c r="D179" s="1" t="s">
        <v>142</v>
      </c>
      <c r="E179" s="1">
        <v>1</v>
      </c>
      <c r="F179" s="1" t="str">
        <f>_xlfn.XLOOKUP(C179,Customers!A:A,Customers!C:C,"MISSING")</f>
        <v>Delhi</v>
      </c>
      <c r="G179" s="1" t="str">
        <f>_xlfn.XLOOKUP(D179,Products!A:A,Products!C:C,"MISSING")</f>
        <v>Electronics</v>
      </c>
      <c r="H179" s="1">
        <f>_xlfn.XLOOKUP(D179,Products!A:A,Products!D:D,"MISSING")</f>
        <v>15000</v>
      </c>
      <c r="I179" s="1" t="str">
        <f t="shared" si="4"/>
        <v>May</v>
      </c>
      <c r="J179" s="1">
        <f t="shared" si="5"/>
        <v>15000</v>
      </c>
      <c r="K179" s="1" t="str">
        <f>_xlfn.XLOOKUP(C179,Customers!A:A,Customers!B:B,"MISSING")</f>
        <v>Neha Singh</v>
      </c>
      <c r="L179" s="1" t="str">
        <f>_xlfn.XLOOKUP(D179,Products!A:A,Products!B:B,"MISSING")</f>
        <v>Tablet</v>
      </c>
    </row>
    <row r="180" spans="1:12">
      <c r="A180" s="1">
        <v>1179</v>
      </c>
      <c r="B180" s="1" t="s">
        <v>303</v>
      </c>
      <c r="C180" s="1" t="s">
        <v>89</v>
      </c>
      <c r="D180" s="1" t="s">
        <v>156</v>
      </c>
      <c r="E180" s="1">
        <v>2</v>
      </c>
      <c r="F180" s="1" t="str">
        <f>_xlfn.XLOOKUP(C180,Customers!A:A,Customers!C:C,"MISSING")</f>
        <v>Bangalore</v>
      </c>
      <c r="G180" s="1" t="str">
        <f>_xlfn.XLOOKUP(D180,Products!A:A,Products!C:C,"MISSING")</f>
        <v>Clothing</v>
      </c>
      <c r="H180" s="1">
        <f>_xlfn.XLOOKUP(D180,Products!A:A,Products!D:D,"MISSING")</f>
        <v>1800</v>
      </c>
      <c r="I180" s="1" t="str">
        <f t="shared" si="4"/>
        <v>Jun</v>
      </c>
      <c r="J180" s="1">
        <f t="shared" si="5"/>
        <v>3600</v>
      </c>
      <c r="K180" s="1" t="str">
        <f>_xlfn.XLOOKUP(C180,Customers!A:A,Customers!B:B,"MISSING")</f>
        <v>Priya Kapoor</v>
      </c>
      <c r="L180" s="1" t="str">
        <f>_xlfn.XLOOKUP(D180,Products!A:A,Products!B:B,"MISSING")</f>
        <v>Shirt</v>
      </c>
    </row>
    <row r="181" spans="1:12">
      <c r="A181" s="1">
        <v>1180</v>
      </c>
      <c r="B181" s="1" t="s">
        <v>187</v>
      </c>
      <c r="C181" s="1" t="s">
        <v>44</v>
      </c>
      <c r="D181" s="1" t="s">
        <v>142</v>
      </c>
      <c r="E181" s="1">
        <v>5</v>
      </c>
      <c r="F181" s="1" t="str">
        <f>_xlfn.XLOOKUP(C181,Customers!A:A,Customers!C:C,"MISSING")</f>
        <v>Lucknow</v>
      </c>
      <c r="G181" s="1" t="str">
        <f>_xlfn.XLOOKUP(D181,Products!A:A,Products!C:C,"MISSING")</f>
        <v>Electronics</v>
      </c>
      <c r="H181" s="1">
        <f>_xlfn.XLOOKUP(D181,Products!A:A,Products!D:D,"MISSING")</f>
        <v>15000</v>
      </c>
      <c r="I181" s="1" t="str">
        <f t="shared" si="4"/>
        <v>Feb</v>
      </c>
      <c r="J181" s="1">
        <f t="shared" si="5"/>
        <v>75000</v>
      </c>
      <c r="K181" s="1" t="str">
        <f>_xlfn.XLOOKUP(C181,Customers!A:A,Customers!B:B,"MISSING")</f>
        <v>Nitin Joshi</v>
      </c>
      <c r="L181" s="1" t="str">
        <f>_xlfn.XLOOKUP(D181,Products!A:A,Products!B:B,"MISSING")</f>
        <v>Tablet</v>
      </c>
    </row>
    <row r="182" spans="1:12">
      <c r="A182" s="1">
        <v>1181</v>
      </c>
      <c r="B182" s="1" t="s">
        <v>304</v>
      </c>
      <c r="C182" s="1" t="s">
        <v>33</v>
      </c>
      <c r="D182" s="1" t="s">
        <v>149</v>
      </c>
      <c r="E182" s="1">
        <v>4</v>
      </c>
      <c r="F182" s="1" t="str">
        <f>_xlfn.XLOOKUP(C182,Customers!A:A,Customers!C:C,"MISSING")</f>
        <v>Ahmedabad</v>
      </c>
      <c r="G182" s="1" t="str">
        <f>_xlfn.XLOOKUP(D182,Products!A:A,Products!C:C,"MISSING")</f>
        <v>Furniture</v>
      </c>
      <c r="H182" s="1">
        <f>_xlfn.XLOOKUP(D182,Products!A:A,Products!D:D,"MISSING")</f>
        <v>25000</v>
      </c>
      <c r="I182" s="1" t="str">
        <f t="shared" si="4"/>
        <v>May</v>
      </c>
      <c r="J182" s="1">
        <f t="shared" si="5"/>
        <v>100000</v>
      </c>
      <c r="K182" s="1" t="str">
        <f>_xlfn.XLOOKUP(C182,Customers!A:A,Customers!B:B,"MISSING")</f>
        <v>Priya Kapoor</v>
      </c>
      <c r="L182" s="1" t="str">
        <f>_xlfn.XLOOKUP(D182,Products!A:A,Products!B:B,"MISSING")</f>
        <v>Sofa</v>
      </c>
    </row>
    <row r="183" spans="1:12">
      <c r="A183" s="1">
        <v>1182</v>
      </c>
      <c r="B183" s="1" t="s">
        <v>181</v>
      </c>
      <c r="C183" s="1" t="s">
        <v>107</v>
      </c>
      <c r="D183" s="1" t="s">
        <v>151</v>
      </c>
      <c r="E183" s="1">
        <v>5</v>
      </c>
      <c r="F183" s="1" t="str">
        <f>_xlfn.XLOOKUP(C183,Customers!A:A,Customers!C:C,"MISSING")</f>
        <v>Lucknow</v>
      </c>
      <c r="G183" s="1" t="str">
        <f>_xlfn.XLOOKUP(D183,Products!A:A,Products!C:C,"MISSING")</f>
        <v>Clothing</v>
      </c>
      <c r="H183" s="1">
        <f>_xlfn.XLOOKUP(D183,Products!A:A,Products!D:D,"MISSING")</f>
        <v>1500</v>
      </c>
      <c r="I183" s="1" t="str">
        <f t="shared" si="4"/>
        <v>Apr</v>
      </c>
      <c r="J183" s="1">
        <f t="shared" si="5"/>
        <v>7500</v>
      </c>
      <c r="K183" s="1" t="str">
        <f>_xlfn.XLOOKUP(C183,Customers!A:A,Customers!B:B,"MISSING")</f>
        <v>Priya Kapoor</v>
      </c>
      <c r="L183" s="1" t="str">
        <f>_xlfn.XLOOKUP(D183,Products!A:A,Products!B:B,"MISSING")</f>
        <v>T-Shirt</v>
      </c>
    </row>
    <row r="184" spans="1:12">
      <c r="A184" s="1">
        <v>1183</v>
      </c>
      <c r="B184" s="1" t="s">
        <v>305</v>
      </c>
      <c r="C184" s="1" t="s">
        <v>109</v>
      </c>
      <c r="D184" s="1" t="s">
        <v>156</v>
      </c>
      <c r="E184" s="1">
        <v>5</v>
      </c>
      <c r="F184" s="1" t="str">
        <f>_xlfn.XLOOKUP(C184,Customers!A:A,Customers!C:C,"MISSING")</f>
        <v>Mumbai</v>
      </c>
      <c r="G184" s="1" t="str">
        <f>_xlfn.XLOOKUP(D184,Products!A:A,Products!C:C,"MISSING")</f>
        <v>Clothing</v>
      </c>
      <c r="H184" s="1">
        <f>_xlfn.XLOOKUP(D184,Products!A:A,Products!D:D,"MISSING")</f>
        <v>1800</v>
      </c>
      <c r="I184" s="1" t="str">
        <f t="shared" si="4"/>
        <v>Feb</v>
      </c>
      <c r="J184" s="1">
        <f t="shared" si="5"/>
        <v>9000</v>
      </c>
      <c r="K184" s="1" t="str">
        <f>_xlfn.XLOOKUP(C184,Customers!A:A,Customers!B:B,"MISSING")</f>
        <v>Nitin Joshi</v>
      </c>
      <c r="L184" s="1" t="str">
        <f>_xlfn.XLOOKUP(D184,Products!A:A,Products!B:B,"MISSING")</f>
        <v>Shirt</v>
      </c>
    </row>
    <row r="185" spans="1:12">
      <c r="A185" s="1">
        <v>1184</v>
      </c>
      <c r="B185" s="1" t="s">
        <v>217</v>
      </c>
      <c r="C185" s="1" t="s">
        <v>103</v>
      </c>
      <c r="D185" s="1" t="s">
        <v>154</v>
      </c>
      <c r="E185" s="1">
        <v>4</v>
      </c>
      <c r="F185" s="1" t="str">
        <f>_xlfn.XLOOKUP(C185,Customers!A:A,Customers!C:C,"MISSING")</f>
        <v>Bangalore</v>
      </c>
      <c r="G185" s="1" t="str">
        <f>_xlfn.XLOOKUP(D185,Products!A:A,Products!C:C,"MISSING")</f>
        <v>Clothing</v>
      </c>
      <c r="H185" s="1">
        <f>_xlfn.XLOOKUP(D185,Products!A:A,Products!D:D,"MISSING")</f>
        <v>2500</v>
      </c>
      <c r="I185" s="1" t="str">
        <f t="shared" si="4"/>
        <v>Apr</v>
      </c>
      <c r="J185" s="1">
        <f t="shared" si="5"/>
        <v>10000</v>
      </c>
      <c r="K185" s="1" t="str">
        <f>_xlfn.XLOOKUP(C185,Customers!A:A,Customers!B:B,"MISSING")</f>
        <v>Neha Singh</v>
      </c>
      <c r="L185" s="1" t="str">
        <f>_xlfn.XLOOKUP(D185,Products!A:A,Products!B:B,"MISSING")</f>
        <v>Jeans</v>
      </c>
    </row>
    <row r="186" spans="1:12">
      <c r="A186" s="1">
        <v>1185</v>
      </c>
      <c r="B186" s="1" t="s">
        <v>165</v>
      </c>
      <c r="C186" s="1" t="s">
        <v>67</v>
      </c>
      <c r="D186" s="1" t="s">
        <v>142</v>
      </c>
      <c r="E186" s="1">
        <v>5</v>
      </c>
      <c r="F186" s="1" t="str">
        <f>_xlfn.XLOOKUP(C186,Customers!A:A,Customers!C:C,"MISSING")</f>
        <v>Mumbai</v>
      </c>
      <c r="G186" s="1" t="str">
        <f>_xlfn.XLOOKUP(D186,Products!A:A,Products!C:C,"MISSING")</f>
        <v>Electronics</v>
      </c>
      <c r="H186" s="1">
        <f>_xlfn.XLOOKUP(D186,Products!A:A,Products!D:D,"MISSING")</f>
        <v>15000</v>
      </c>
      <c r="I186" s="1" t="str">
        <f t="shared" si="4"/>
        <v>Dec</v>
      </c>
      <c r="J186" s="1">
        <f t="shared" si="5"/>
        <v>75000</v>
      </c>
      <c r="K186" s="1" t="str">
        <f>_xlfn.XLOOKUP(C186,Customers!A:A,Customers!B:B,"MISSING")</f>
        <v>Nitin Joshi</v>
      </c>
      <c r="L186" s="1" t="str">
        <f>_xlfn.XLOOKUP(D186,Products!A:A,Products!B:B,"MISSING")</f>
        <v>Tablet</v>
      </c>
    </row>
    <row r="187" spans="1:12">
      <c r="A187" s="1">
        <v>1186</v>
      </c>
      <c r="B187" s="1" t="s">
        <v>209</v>
      </c>
      <c r="C187" s="1" t="s">
        <v>132</v>
      </c>
      <c r="D187" s="1" t="s">
        <v>151</v>
      </c>
      <c r="E187" s="1">
        <v>5</v>
      </c>
      <c r="F187" s="1" t="str">
        <f>_xlfn.XLOOKUP(C187,Customers!A:A,Customers!C:C,"MISSING")</f>
        <v>Jaipur</v>
      </c>
      <c r="G187" s="1" t="str">
        <f>_xlfn.XLOOKUP(D187,Products!A:A,Products!C:C,"MISSING")</f>
        <v>Clothing</v>
      </c>
      <c r="H187" s="1">
        <f>_xlfn.XLOOKUP(D187,Products!A:A,Products!D:D,"MISSING")</f>
        <v>1500</v>
      </c>
      <c r="I187" s="1" t="str">
        <f t="shared" si="4"/>
        <v>Mar</v>
      </c>
      <c r="J187" s="1">
        <f t="shared" si="5"/>
        <v>7500</v>
      </c>
      <c r="K187" s="1" t="str">
        <f>_xlfn.XLOOKUP(C187,Customers!A:A,Customers!B:B,"MISSING")</f>
        <v>Ravi Patel</v>
      </c>
      <c r="L187" s="1" t="str">
        <f>_xlfn.XLOOKUP(D187,Products!A:A,Products!B:B,"MISSING")</f>
        <v>T-Shirt</v>
      </c>
    </row>
    <row r="188" spans="1:12">
      <c r="A188" s="1">
        <v>1187</v>
      </c>
      <c r="B188" s="1" t="s">
        <v>306</v>
      </c>
      <c r="C188" s="1" t="s">
        <v>31</v>
      </c>
      <c r="D188" s="1" t="s">
        <v>144</v>
      </c>
      <c r="E188" s="1">
        <v>5</v>
      </c>
      <c r="F188" s="1" t="str">
        <f>_xlfn.XLOOKUP(C188,Customers!A:A,Customers!C:C,"MISSING")</f>
        <v>Bangalore</v>
      </c>
      <c r="G188" s="1" t="str">
        <f>_xlfn.XLOOKUP(D188,Products!A:A,Products!C:C,"MISSING")</f>
        <v>Furniture</v>
      </c>
      <c r="H188" s="1">
        <f>_xlfn.XLOOKUP(D188,Products!A:A,Products!D:D,"MISSING")</f>
        <v>3000</v>
      </c>
      <c r="I188" s="1" t="str">
        <f t="shared" si="4"/>
        <v>Jun</v>
      </c>
      <c r="J188" s="1">
        <f t="shared" si="5"/>
        <v>15000</v>
      </c>
      <c r="K188" s="1" t="str">
        <f>_xlfn.XLOOKUP(C188,Customers!A:A,Customers!B:B,"MISSING")</f>
        <v>Karan Mehta</v>
      </c>
      <c r="L188" s="1" t="str">
        <f>_xlfn.XLOOKUP(D188,Products!A:A,Products!B:B,"MISSING")</f>
        <v>Chair</v>
      </c>
    </row>
    <row r="189" spans="1:12">
      <c r="A189" s="1">
        <v>1188</v>
      </c>
      <c r="B189" s="1" t="s">
        <v>307</v>
      </c>
      <c r="C189" s="1" t="s">
        <v>111</v>
      </c>
      <c r="D189" s="1" t="s">
        <v>156</v>
      </c>
      <c r="E189" s="1">
        <v>3</v>
      </c>
      <c r="F189" s="1" t="str">
        <f>_xlfn.XLOOKUP(C189,Customers!A:A,Customers!C:C,"MISSING")</f>
        <v>Delhi</v>
      </c>
      <c r="G189" s="1" t="str">
        <f>_xlfn.XLOOKUP(D189,Products!A:A,Products!C:C,"MISSING")</f>
        <v>Clothing</v>
      </c>
      <c r="H189" s="1">
        <f>_xlfn.XLOOKUP(D189,Products!A:A,Products!D:D,"MISSING")</f>
        <v>1800</v>
      </c>
      <c r="I189" s="1" t="str">
        <f t="shared" si="4"/>
        <v>Oct</v>
      </c>
      <c r="J189" s="1">
        <f t="shared" si="5"/>
        <v>5400</v>
      </c>
      <c r="K189" s="1" t="str">
        <f>_xlfn.XLOOKUP(C189,Customers!A:A,Customers!B:B,"MISSING")</f>
        <v>Sneha Iyer</v>
      </c>
      <c r="L189" s="1" t="str">
        <f>_xlfn.XLOOKUP(D189,Products!A:A,Products!B:B,"MISSING")</f>
        <v>Shirt</v>
      </c>
    </row>
    <row r="190" spans="1:12">
      <c r="A190" s="1">
        <v>1189</v>
      </c>
      <c r="B190" s="1" t="s">
        <v>308</v>
      </c>
      <c r="C190" s="1" t="s">
        <v>128</v>
      </c>
      <c r="D190" s="1" t="s">
        <v>140</v>
      </c>
      <c r="E190" s="1">
        <v>5</v>
      </c>
      <c r="F190" s="1" t="str">
        <f>_xlfn.XLOOKUP(C190,Customers!A:A,Customers!C:C,"MISSING")</f>
        <v>Delhi</v>
      </c>
      <c r="G190" s="1" t="str">
        <f>_xlfn.XLOOKUP(D190,Products!A:A,Products!C:C,"MISSING")</f>
        <v>Electronics</v>
      </c>
      <c r="H190" s="1">
        <f>_xlfn.XLOOKUP(D190,Products!A:A,Products!D:D,"MISSING")</f>
        <v>20000</v>
      </c>
      <c r="I190" s="1" t="str">
        <f t="shared" si="4"/>
        <v>Jul</v>
      </c>
      <c r="J190" s="1">
        <f t="shared" si="5"/>
        <v>100000</v>
      </c>
      <c r="K190" s="1" t="str">
        <f>_xlfn.XLOOKUP(C190,Customers!A:A,Customers!B:B,"MISSING")</f>
        <v>Neha Singh</v>
      </c>
      <c r="L190" s="1" t="str">
        <f>_xlfn.XLOOKUP(D190,Products!A:A,Products!B:B,"MISSING")</f>
        <v>Mobile</v>
      </c>
    </row>
    <row r="191" spans="1:12">
      <c r="A191" s="1">
        <v>1190</v>
      </c>
      <c r="B191" s="1" t="s">
        <v>309</v>
      </c>
      <c r="C191" s="1" t="s">
        <v>95</v>
      </c>
      <c r="D191" s="1" t="s">
        <v>147</v>
      </c>
      <c r="E191" s="1">
        <v>4</v>
      </c>
      <c r="F191" s="1" t="str">
        <f>_xlfn.XLOOKUP(C191,Customers!A:A,Customers!C:C,"MISSING")</f>
        <v>Hyderabad</v>
      </c>
      <c r="G191" s="1" t="str">
        <f>_xlfn.XLOOKUP(D191,Products!A:A,Products!C:C,"MISSING")</f>
        <v>Furniture</v>
      </c>
      <c r="H191" s="1">
        <f>_xlfn.XLOOKUP(D191,Products!A:A,Products!D:D,"MISSING")</f>
        <v>7000</v>
      </c>
      <c r="I191" s="1" t="str">
        <f t="shared" si="4"/>
        <v>Jul</v>
      </c>
      <c r="J191" s="1">
        <f t="shared" si="5"/>
        <v>28000</v>
      </c>
      <c r="K191" s="1" t="str">
        <f>_xlfn.XLOOKUP(C191,Customers!A:A,Customers!B:B,"MISSING")</f>
        <v>Arjun Malhotra</v>
      </c>
      <c r="L191" s="1" t="str">
        <f>_xlfn.XLOOKUP(D191,Products!A:A,Products!B:B,"MISSING")</f>
        <v>Table</v>
      </c>
    </row>
    <row r="192" spans="1:12">
      <c r="A192" s="1">
        <v>1191</v>
      </c>
      <c r="B192" s="1" t="s">
        <v>310</v>
      </c>
      <c r="C192" s="1" t="s">
        <v>71</v>
      </c>
      <c r="D192" s="1" t="s">
        <v>144</v>
      </c>
      <c r="E192" s="1">
        <v>1</v>
      </c>
      <c r="F192" s="1" t="str">
        <f>_xlfn.XLOOKUP(C192,Customers!A:A,Customers!C:C,"MISSING")</f>
        <v>Mumbai</v>
      </c>
      <c r="G192" s="1" t="str">
        <f>_xlfn.XLOOKUP(D192,Products!A:A,Products!C:C,"MISSING")</f>
        <v>Furniture</v>
      </c>
      <c r="H192" s="1">
        <f>_xlfn.XLOOKUP(D192,Products!A:A,Products!D:D,"MISSING")</f>
        <v>3000</v>
      </c>
      <c r="I192" s="1" t="str">
        <f t="shared" si="4"/>
        <v>Jul</v>
      </c>
      <c r="J192" s="1">
        <f t="shared" si="5"/>
        <v>3000</v>
      </c>
      <c r="K192" s="1" t="str">
        <f>_xlfn.XLOOKUP(C192,Customers!A:A,Customers!B:B,"MISSING")</f>
        <v>Neha Singh</v>
      </c>
      <c r="L192" s="1" t="str">
        <f>_xlfn.XLOOKUP(D192,Products!A:A,Products!B:B,"MISSING")</f>
        <v>Chair</v>
      </c>
    </row>
    <row r="193" spans="1:12">
      <c r="A193" s="1">
        <v>1192</v>
      </c>
      <c r="B193" s="1" t="s">
        <v>221</v>
      </c>
      <c r="C193" s="1" t="s">
        <v>38</v>
      </c>
      <c r="D193" s="1" t="s">
        <v>147</v>
      </c>
      <c r="E193" s="1">
        <v>2</v>
      </c>
      <c r="F193" s="1" t="str">
        <f>_xlfn.XLOOKUP(C193,Customers!A:A,Customers!C:C,"MISSING")</f>
        <v>Kolkata</v>
      </c>
      <c r="G193" s="1" t="str">
        <f>_xlfn.XLOOKUP(D193,Products!A:A,Products!C:C,"MISSING")</f>
        <v>Furniture</v>
      </c>
      <c r="H193" s="1">
        <f>_xlfn.XLOOKUP(D193,Products!A:A,Products!D:D,"MISSING")</f>
        <v>7000</v>
      </c>
      <c r="I193" s="1" t="str">
        <f t="shared" si="4"/>
        <v>Apr</v>
      </c>
      <c r="J193" s="1">
        <f t="shared" si="5"/>
        <v>14000</v>
      </c>
      <c r="K193" s="1" t="str">
        <f>_xlfn.XLOOKUP(C193,Customers!A:A,Customers!B:B,"MISSING")</f>
        <v>Tanya Sethi</v>
      </c>
      <c r="L193" s="1" t="str">
        <f>_xlfn.XLOOKUP(D193,Products!A:A,Products!B:B,"MISSING")</f>
        <v>Table</v>
      </c>
    </row>
    <row r="194" spans="1:12">
      <c r="A194" s="1">
        <v>1193</v>
      </c>
      <c r="B194" s="1" t="s">
        <v>200</v>
      </c>
      <c r="C194" s="1" t="s">
        <v>36</v>
      </c>
      <c r="D194" s="1" t="s">
        <v>137</v>
      </c>
      <c r="E194" s="1">
        <v>5</v>
      </c>
      <c r="F194" s="1" t="str">
        <f>_xlfn.XLOOKUP(C194,Customers!A:A,Customers!C:C,"MISSING")</f>
        <v>Delhi</v>
      </c>
      <c r="G194" s="1" t="str">
        <f>_xlfn.XLOOKUP(D194,Products!A:A,Products!C:C,"MISSING")</f>
        <v>Electronics</v>
      </c>
      <c r="H194" s="1">
        <f>_xlfn.XLOOKUP(D194,Products!A:A,Products!D:D,"MISSING")</f>
        <v>50000</v>
      </c>
      <c r="I194" s="1" t="str">
        <f t="shared" si="4"/>
        <v>Mar</v>
      </c>
      <c r="J194" s="1">
        <f t="shared" si="5"/>
        <v>250000</v>
      </c>
      <c r="K194" s="1" t="str">
        <f>_xlfn.XLOOKUP(C194,Customers!A:A,Customers!B:B,"MISSING")</f>
        <v>Karan Mehta</v>
      </c>
      <c r="L194" s="1" t="str">
        <f>_xlfn.XLOOKUP(D194,Products!A:A,Products!B:B,"MISSING")</f>
        <v>Laptop</v>
      </c>
    </row>
    <row r="195" spans="1:12">
      <c r="A195" s="1">
        <v>1194</v>
      </c>
      <c r="B195" s="1" t="s">
        <v>311</v>
      </c>
      <c r="C195" s="1" t="s">
        <v>99</v>
      </c>
      <c r="D195" s="1" t="s">
        <v>149</v>
      </c>
      <c r="E195" s="1">
        <v>5</v>
      </c>
      <c r="F195" s="1" t="str">
        <f>_xlfn.XLOOKUP(C195,Customers!A:A,Customers!C:C,"MISSING")</f>
        <v>Pune</v>
      </c>
      <c r="G195" s="1" t="str">
        <f>_xlfn.XLOOKUP(D195,Products!A:A,Products!C:C,"MISSING")</f>
        <v>Furniture</v>
      </c>
      <c r="H195" s="1">
        <f>_xlfn.XLOOKUP(D195,Products!A:A,Products!D:D,"MISSING")</f>
        <v>25000</v>
      </c>
      <c r="I195" s="1" t="str">
        <f t="shared" ref="I195:I258" si="6">TEXT(B195,"mmm")</f>
        <v>Jul</v>
      </c>
      <c r="J195" s="1">
        <f t="shared" ref="J195:J258" si="7">E195*H195</f>
        <v>125000</v>
      </c>
      <c r="K195" s="1" t="str">
        <f>_xlfn.XLOOKUP(C195,Customers!A:A,Customers!B:B,"MISSING")</f>
        <v>Rohit Sen</v>
      </c>
      <c r="L195" s="1" t="str">
        <f>_xlfn.XLOOKUP(D195,Products!A:A,Products!B:B,"MISSING")</f>
        <v>Sofa</v>
      </c>
    </row>
    <row r="196" spans="1:12">
      <c r="A196" s="1">
        <v>1195</v>
      </c>
      <c r="B196" s="1" t="s">
        <v>312</v>
      </c>
      <c r="C196" s="1" t="s">
        <v>44</v>
      </c>
      <c r="D196" s="1" t="s">
        <v>158</v>
      </c>
      <c r="E196" s="1">
        <v>2</v>
      </c>
      <c r="F196" s="1" t="str">
        <f>_xlfn.XLOOKUP(C196,Customers!A:A,Customers!C:C,"MISSING")</f>
        <v>Lucknow</v>
      </c>
      <c r="G196" s="1" t="str">
        <f>_xlfn.XLOOKUP(D196,Products!A:A,Products!C:C,"MISSING")</f>
        <v>Clothing</v>
      </c>
      <c r="H196" s="1">
        <f>_xlfn.XLOOKUP(D196,Products!A:A,Products!D:D,"MISSING")</f>
        <v>3500</v>
      </c>
      <c r="I196" s="1" t="str">
        <f t="shared" si="6"/>
        <v>May</v>
      </c>
      <c r="J196" s="1">
        <f t="shared" si="7"/>
        <v>7000</v>
      </c>
      <c r="K196" s="1" t="str">
        <f>_xlfn.XLOOKUP(C196,Customers!A:A,Customers!B:B,"MISSING")</f>
        <v>Nitin Joshi</v>
      </c>
      <c r="L196" s="1" t="str">
        <f>_xlfn.XLOOKUP(D196,Products!A:A,Products!B:B,"MISSING")</f>
        <v>Shoes</v>
      </c>
    </row>
    <row r="197" spans="1:12">
      <c r="A197" s="1">
        <v>1196</v>
      </c>
      <c r="B197" s="1" t="s">
        <v>313</v>
      </c>
      <c r="C197" s="1" t="s">
        <v>99</v>
      </c>
      <c r="D197" s="1" t="s">
        <v>137</v>
      </c>
      <c r="E197" s="1">
        <v>5</v>
      </c>
      <c r="F197" s="1" t="str">
        <f>_xlfn.XLOOKUP(C197,Customers!A:A,Customers!C:C,"MISSING")</f>
        <v>Pune</v>
      </c>
      <c r="G197" s="1" t="str">
        <f>_xlfn.XLOOKUP(D197,Products!A:A,Products!C:C,"MISSING")</f>
        <v>Electronics</v>
      </c>
      <c r="H197" s="1">
        <f>_xlfn.XLOOKUP(D197,Products!A:A,Products!D:D,"MISSING")</f>
        <v>50000</v>
      </c>
      <c r="I197" s="1" t="str">
        <f t="shared" si="6"/>
        <v>Jul</v>
      </c>
      <c r="J197" s="1">
        <f t="shared" si="7"/>
        <v>250000</v>
      </c>
      <c r="K197" s="1" t="str">
        <f>_xlfn.XLOOKUP(C197,Customers!A:A,Customers!B:B,"MISSING")</f>
        <v>Rohit Sen</v>
      </c>
      <c r="L197" s="1" t="str">
        <f>_xlfn.XLOOKUP(D197,Products!A:A,Products!B:B,"MISSING")</f>
        <v>Laptop</v>
      </c>
    </row>
    <row r="198" spans="1:12">
      <c r="A198" s="1">
        <v>1197</v>
      </c>
      <c r="B198" s="1" t="s">
        <v>314</v>
      </c>
      <c r="C198" s="1" t="s">
        <v>132</v>
      </c>
      <c r="D198" s="1" t="s">
        <v>147</v>
      </c>
      <c r="E198" s="1">
        <v>4</v>
      </c>
      <c r="F198" s="1" t="str">
        <f>_xlfn.XLOOKUP(C198,Customers!A:A,Customers!C:C,"MISSING")</f>
        <v>Jaipur</v>
      </c>
      <c r="G198" s="1" t="str">
        <f>_xlfn.XLOOKUP(D198,Products!A:A,Products!C:C,"MISSING")</f>
        <v>Furniture</v>
      </c>
      <c r="H198" s="1">
        <f>_xlfn.XLOOKUP(D198,Products!A:A,Products!D:D,"MISSING")</f>
        <v>7000</v>
      </c>
      <c r="I198" s="1" t="str">
        <f t="shared" si="6"/>
        <v>May</v>
      </c>
      <c r="J198" s="1">
        <f t="shared" si="7"/>
        <v>28000</v>
      </c>
      <c r="K198" s="1" t="str">
        <f>_xlfn.XLOOKUP(C198,Customers!A:A,Customers!B:B,"MISSING")</f>
        <v>Ravi Patel</v>
      </c>
      <c r="L198" s="1" t="str">
        <f>_xlfn.XLOOKUP(D198,Products!A:A,Products!B:B,"MISSING")</f>
        <v>Table</v>
      </c>
    </row>
    <row r="199" spans="1:12">
      <c r="A199" s="1">
        <v>1198</v>
      </c>
      <c r="B199" s="1" t="s">
        <v>243</v>
      </c>
      <c r="C199" s="1" t="s">
        <v>68</v>
      </c>
      <c r="D199" s="1" t="s">
        <v>149</v>
      </c>
      <c r="E199" s="1">
        <v>4</v>
      </c>
      <c r="F199" s="1" t="str">
        <f>_xlfn.XLOOKUP(C199,Customers!A:A,Customers!C:C,"MISSING")</f>
        <v>Pune</v>
      </c>
      <c r="G199" s="1" t="str">
        <f>_xlfn.XLOOKUP(D199,Products!A:A,Products!C:C,"MISSING")</f>
        <v>Furniture</v>
      </c>
      <c r="H199" s="1">
        <f>_xlfn.XLOOKUP(D199,Products!A:A,Products!D:D,"MISSING")</f>
        <v>25000</v>
      </c>
      <c r="I199" s="1" t="str">
        <f t="shared" si="6"/>
        <v>Jul</v>
      </c>
      <c r="J199" s="1">
        <f t="shared" si="7"/>
        <v>100000</v>
      </c>
      <c r="K199" s="1" t="str">
        <f>_xlfn.XLOOKUP(C199,Customers!A:A,Customers!B:B,"MISSING")</f>
        <v>Arjun Malhotra</v>
      </c>
      <c r="L199" s="1" t="str">
        <f>_xlfn.XLOOKUP(D199,Products!A:A,Products!B:B,"MISSING")</f>
        <v>Sofa</v>
      </c>
    </row>
    <row r="200" spans="1:12">
      <c r="A200" s="1">
        <v>1199</v>
      </c>
      <c r="B200" s="1" t="s">
        <v>315</v>
      </c>
      <c r="C200" s="1" t="s">
        <v>128</v>
      </c>
      <c r="D200" s="1" t="s">
        <v>158</v>
      </c>
      <c r="E200" s="1">
        <v>3</v>
      </c>
      <c r="F200" s="1" t="str">
        <f>_xlfn.XLOOKUP(C200,Customers!A:A,Customers!C:C,"MISSING")</f>
        <v>Delhi</v>
      </c>
      <c r="G200" s="1" t="str">
        <f>_xlfn.XLOOKUP(D200,Products!A:A,Products!C:C,"MISSING")</f>
        <v>Clothing</v>
      </c>
      <c r="H200" s="1">
        <f>_xlfn.XLOOKUP(D200,Products!A:A,Products!D:D,"MISSING")</f>
        <v>3500</v>
      </c>
      <c r="I200" s="1" t="str">
        <f t="shared" si="6"/>
        <v>Nov</v>
      </c>
      <c r="J200" s="1">
        <f t="shared" si="7"/>
        <v>10500</v>
      </c>
      <c r="K200" s="1" t="str">
        <f>_xlfn.XLOOKUP(C200,Customers!A:A,Customers!B:B,"MISSING")</f>
        <v>Neha Singh</v>
      </c>
      <c r="L200" s="1" t="str">
        <f>_xlfn.XLOOKUP(D200,Products!A:A,Products!B:B,"MISSING")</f>
        <v>Shoes</v>
      </c>
    </row>
    <row r="201" spans="1:12">
      <c r="A201" s="1">
        <v>1200</v>
      </c>
      <c r="B201" s="1" t="s">
        <v>234</v>
      </c>
      <c r="C201" s="1" t="s">
        <v>112</v>
      </c>
      <c r="D201" s="1" t="s">
        <v>147</v>
      </c>
      <c r="E201" s="1">
        <v>4</v>
      </c>
      <c r="F201" s="1" t="str">
        <f>_xlfn.XLOOKUP(C201,Customers!A:A,Customers!C:C,"MISSING")</f>
        <v>Lucknow</v>
      </c>
      <c r="G201" s="1" t="str">
        <f>_xlfn.XLOOKUP(D201,Products!A:A,Products!C:C,"MISSING")</f>
        <v>Furniture</v>
      </c>
      <c r="H201" s="1">
        <f>_xlfn.XLOOKUP(D201,Products!A:A,Products!D:D,"MISSING")</f>
        <v>7000</v>
      </c>
      <c r="I201" s="1" t="str">
        <f t="shared" si="6"/>
        <v>Nov</v>
      </c>
      <c r="J201" s="1">
        <f t="shared" si="7"/>
        <v>28000</v>
      </c>
      <c r="K201" s="1" t="str">
        <f>_xlfn.XLOOKUP(C201,Customers!A:A,Customers!B:B,"MISSING")</f>
        <v>Manav Arora</v>
      </c>
      <c r="L201" s="1" t="str">
        <f>_xlfn.XLOOKUP(D201,Products!A:A,Products!B:B,"MISSING")</f>
        <v>Table</v>
      </c>
    </row>
    <row r="202" spans="1:12">
      <c r="A202" s="1">
        <v>1201</v>
      </c>
      <c r="B202" s="1" t="s">
        <v>316</v>
      </c>
      <c r="C202" s="1" t="s">
        <v>86</v>
      </c>
      <c r="D202" s="1" t="s">
        <v>156</v>
      </c>
      <c r="E202" s="1">
        <v>5</v>
      </c>
      <c r="F202" s="1" t="str">
        <f>_xlfn.XLOOKUP(C202,Customers!A:A,Customers!C:C,"MISSING")</f>
        <v>Pune</v>
      </c>
      <c r="G202" s="1" t="str">
        <f>_xlfn.XLOOKUP(D202,Products!A:A,Products!C:C,"MISSING")</f>
        <v>Clothing</v>
      </c>
      <c r="H202" s="1">
        <f>_xlfn.XLOOKUP(D202,Products!A:A,Products!D:D,"MISSING")</f>
        <v>1800</v>
      </c>
      <c r="I202" s="1" t="str">
        <f t="shared" si="6"/>
        <v>Oct</v>
      </c>
      <c r="J202" s="1">
        <f t="shared" si="7"/>
        <v>9000</v>
      </c>
      <c r="K202" s="1" t="str">
        <f>_xlfn.XLOOKUP(C202,Customers!A:A,Customers!B:B,"MISSING")</f>
        <v>Sejal Shah</v>
      </c>
      <c r="L202" s="1" t="str">
        <f>_xlfn.XLOOKUP(D202,Products!A:A,Products!B:B,"MISSING")</f>
        <v>Shirt</v>
      </c>
    </row>
    <row r="203" spans="1:12">
      <c r="A203" s="1">
        <v>1202</v>
      </c>
      <c r="B203" s="1" t="s">
        <v>317</v>
      </c>
      <c r="C203" s="1" t="s">
        <v>108</v>
      </c>
      <c r="D203" s="1" t="s">
        <v>137</v>
      </c>
      <c r="E203" s="1">
        <v>1</v>
      </c>
      <c r="F203" s="1" t="str">
        <f>_xlfn.XLOOKUP(C203,Customers!A:A,Customers!C:C,"MISSING")</f>
        <v>Bangalore</v>
      </c>
      <c r="G203" s="1" t="str">
        <f>_xlfn.XLOOKUP(D203,Products!A:A,Products!C:C,"MISSING")</f>
        <v>Electronics</v>
      </c>
      <c r="H203" s="1">
        <f>_xlfn.XLOOKUP(D203,Products!A:A,Products!D:D,"MISSING")</f>
        <v>50000</v>
      </c>
      <c r="I203" s="1" t="str">
        <f t="shared" si="6"/>
        <v>May</v>
      </c>
      <c r="J203" s="1">
        <f t="shared" si="7"/>
        <v>50000</v>
      </c>
      <c r="K203" s="1" t="str">
        <f>_xlfn.XLOOKUP(C203,Customers!A:A,Customers!B:B,"MISSING")</f>
        <v>Komal Gupta</v>
      </c>
      <c r="L203" s="1" t="str">
        <f>_xlfn.XLOOKUP(D203,Products!A:A,Products!B:B,"MISSING")</f>
        <v>Laptop</v>
      </c>
    </row>
    <row r="204" spans="1:12">
      <c r="A204" s="1">
        <v>1203</v>
      </c>
      <c r="B204" s="1" t="s">
        <v>300</v>
      </c>
      <c r="C204" s="1" t="s">
        <v>89</v>
      </c>
      <c r="D204" s="1" t="s">
        <v>147</v>
      </c>
      <c r="E204" s="1">
        <v>4</v>
      </c>
      <c r="F204" s="1" t="str">
        <f>_xlfn.XLOOKUP(C204,Customers!A:A,Customers!C:C,"MISSING")</f>
        <v>Bangalore</v>
      </c>
      <c r="G204" s="1" t="str">
        <f>_xlfn.XLOOKUP(D204,Products!A:A,Products!C:C,"MISSING")</f>
        <v>Furniture</v>
      </c>
      <c r="H204" s="1">
        <f>_xlfn.XLOOKUP(D204,Products!A:A,Products!D:D,"MISSING")</f>
        <v>7000</v>
      </c>
      <c r="I204" s="1" t="str">
        <f t="shared" si="6"/>
        <v>Jul</v>
      </c>
      <c r="J204" s="1">
        <f t="shared" si="7"/>
        <v>28000</v>
      </c>
      <c r="K204" s="1" t="str">
        <f>_xlfn.XLOOKUP(C204,Customers!A:A,Customers!B:B,"MISSING")</f>
        <v>Priya Kapoor</v>
      </c>
      <c r="L204" s="1" t="str">
        <f>_xlfn.XLOOKUP(D204,Products!A:A,Products!B:B,"MISSING")</f>
        <v>Table</v>
      </c>
    </row>
    <row r="205" spans="1:12">
      <c r="A205" s="1">
        <v>1204</v>
      </c>
      <c r="B205" s="1" t="s">
        <v>228</v>
      </c>
      <c r="C205" s="1" t="s">
        <v>34</v>
      </c>
      <c r="D205" s="1" t="s">
        <v>158</v>
      </c>
      <c r="E205" s="1">
        <v>5</v>
      </c>
      <c r="F205" s="1" t="str">
        <f>_xlfn.XLOOKUP(C205,Customers!A:A,Customers!C:C,"MISSING")</f>
        <v>Kolkata</v>
      </c>
      <c r="G205" s="1" t="str">
        <f>_xlfn.XLOOKUP(D205,Products!A:A,Products!C:C,"MISSING")</f>
        <v>Clothing</v>
      </c>
      <c r="H205" s="1">
        <f>_xlfn.XLOOKUP(D205,Products!A:A,Products!D:D,"MISSING")</f>
        <v>3500</v>
      </c>
      <c r="I205" s="1" t="str">
        <f t="shared" si="6"/>
        <v>Mar</v>
      </c>
      <c r="J205" s="1">
        <f t="shared" si="7"/>
        <v>17500</v>
      </c>
      <c r="K205" s="1" t="str">
        <f>_xlfn.XLOOKUP(C205,Customers!A:A,Customers!B:B,"MISSING")</f>
        <v>Manav Arora</v>
      </c>
      <c r="L205" s="1" t="str">
        <f>_xlfn.XLOOKUP(D205,Products!A:A,Products!B:B,"MISSING")</f>
        <v>Shoes</v>
      </c>
    </row>
    <row r="206" spans="1:12">
      <c r="A206" s="1">
        <v>1205</v>
      </c>
      <c r="B206" s="1" t="s">
        <v>318</v>
      </c>
      <c r="C206" s="1" t="s">
        <v>74</v>
      </c>
      <c r="D206" s="1" t="s">
        <v>147</v>
      </c>
      <c r="E206" s="1">
        <v>4</v>
      </c>
      <c r="F206" s="1" t="str">
        <f>_xlfn.XLOOKUP(C206,Customers!A:A,Customers!C:C,"MISSING")</f>
        <v>Lucknow</v>
      </c>
      <c r="G206" s="1" t="str">
        <f>_xlfn.XLOOKUP(D206,Products!A:A,Products!C:C,"MISSING")</f>
        <v>Furniture</v>
      </c>
      <c r="H206" s="1">
        <f>_xlfn.XLOOKUP(D206,Products!A:A,Products!D:D,"MISSING")</f>
        <v>7000</v>
      </c>
      <c r="I206" s="1" t="str">
        <f t="shared" si="6"/>
        <v>Feb</v>
      </c>
      <c r="J206" s="1">
        <f t="shared" si="7"/>
        <v>28000</v>
      </c>
      <c r="K206" s="1" t="str">
        <f>_xlfn.XLOOKUP(C206,Customers!A:A,Customers!B:B,"MISSING")</f>
        <v>Nitin Joshi</v>
      </c>
      <c r="L206" s="1" t="str">
        <f>_xlfn.XLOOKUP(D206,Products!A:A,Products!B:B,"MISSING")</f>
        <v>Table</v>
      </c>
    </row>
    <row r="207" spans="1:12">
      <c r="A207" s="1">
        <v>1206</v>
      </c>
      <c r="B207" s="1" t="s">
        <v>319</v>
      </c>
      <c r="C207" s="1" t="s">
        <v>117</v>
      </c>
      <c r="D207" s="1" t="s">
        <v>140</v>
      </c>
      <c r="E207" s="1">
        <v>4</v>
      </c>
      <c r="F207" s="1" t="str">
        <f>_xlfn.XLOOKUP(C207,Customers!A:A,Customers!C:C,"MISSING")</f>
        <v>Kolkata</v>
      </c>
      <c r="G207" s="1" t="str">
        <f>_xlfn.XLOOKUP(D207,Products!A:A,Products!C:C,"MISSING")</f>
        <v>Electronics</v>
      </c>
      <c r="H207" s="1">
        <f>_xlfn.XLOOKUP(D207,Products!A:A,Products!D:D,"MISSING")</f>
        <v>20000</v>
      </c>
      <c r="I207" s="1" t="str">
        <f t="shared" si="6"/>
        <v>Jun</v>
      </c>
      <c r="J207" s="1">
        <f t="shared" si="7"/>
        <v>80000</v>
      </c>
      <c r="K207" s="1" t="str">
        <f>_xlfn.XLOOKUP(C207,Customers!A:A,Customers!B:B,"MISSING")</f>
        <v>Tanya Sethi</v>
      </c>
      <c r="L207" s="1" t="str">
        <f>_xlfn.XLOOKUP(D207,Products!A:A,Products!B:B,"MISSING")</f>
        <v>Mobile</v>
      </c>
    </row>
    <row r="208" spans="1:12">
      <c r="A208" s="1">
        <v>1207</v>
      </c>
      <c r="B208" s="1" t="s">
        <v>320</v>
      </c>
      <c r="C208" s="1" t="s">
        <v>128</v>
      </c>
      <c r="D208" s="1" t="s">
        <v>147</v>
      </c>
      <c r="E208" s="1">
        <v>5</v>
      </c>
      <c r="F208" s="1" t="str">
        <f>_xlfn.XLOOKUP(C208,Customers!A:A,Customers!C:C,"MISSING")</f>
        <v>Delhi</v>
      </c>
      <c r="G208" s="1" t="str">
        <f>_xlfn.XLOOKUP(D208,Products!A:A,Products!C:C,"MISSING")</f>
        <v>Furniture</v>
      </c>
      <c r="H208" s="1">
        <f>_xlfn.XLOOKUP(D208,Products!A:A,Products!D:D,"MISSING")</f>
        <v>7000</v>
      </c>
      <c r="I208" s="1" t="str">
        <f t="shared" si="6"/>
        <v>Feb</v>
      </c>
      <c r="J208" s="1">
        <f t="shared" si="7"/>
        <v>35000</v>
      </c>
      <c r="K208" s="1" t="str">
        <f>_xlfn.XLOOKUP(C208,Customers!A:A,Customers!B:B,"MISSING")</f>
        <v>Neha Singh</v>
      </c>
      <c r="L208" s="1" t="str">
        <f>_xlfn.XLOOKUP(D208,Products!A:A,Products!B:B,"MISSING")</f>
        <v>Table</v>
      </c>
    </row>
    <row r="209" spans="1:12">
      <c r="A209" s="1">
        <v>1208</v>
      </c>
      <c r="B209" s="1" t="s">
        <v>276</v>
      </c>
      <c r="C209" s="1" t="s">
        <v>47</v>
      </c>
      <c r="D209" s="1" t="s">
        <v>147</v>
      </c>
      <c r="E209" s="1">
        <v>4</v>
      </c>
      <c r="F209" s="1" t="str">
        <f>_xlfn.XLOOKUP(C209,Customers!A:A,Customers!C:C,"MISSING")</f>
        <v>Mumbai</v>
      </c>
      <c r="G209" s="1" t="str">
        <f>_xlfn.XLOOKUP(D209,Products!A:A,Products!C:C,"MISSING")</f>
        <v>Furniture</v>
      </c>
      <c r="H209" s="1">
        <f>_xlfn.XLOOKUP(D209,Products!A:A,Products!D:D,"MISSING")</f>
        <v>7000</v>
      </c>
      <c r="I209" s="1" t="str">
        <f t="shared" si="6"/>
        <v>Jun</v>
      </c>
      <c r="J209" s="1">
        <f t="shared" si="7"/>
        <v>28000</v>
      </c>
      <c r="K209" s="1" t="str">
        <f>_xlfn.XLOOKUP(C209,Customers!A:A,Customers!B:B,"MISSING")</f>
        <v>Amit Verma</v>
      </c>
      <c r="L209" s="1" t="str">
        <f>_xlfn.XLOOKUP(D209,Products!A:A,Products!B:B,"MISSING")</f>
        <v>Table</v>
      </c>
    </row>
    <row r="210" spans="1:12">
      <c r="A210" s="1">
        <v>1209</v>
      </c>
      <c r="B210" s="1" t="s">
        <v>242</v>
      </c>
      <c r="C210" s="1" t="s">
        <v>112</v>
      </c>
      <c r="D210" s="1" t="s">
        <v>144</v>
      </c>
      <c r="E210" s="1">
        <v>4</v>
      </c>
      <c r="F210" s="1" t="str">
        <f>_xlfn.XLOOKUP(C210,Customers!A:A,Customers!C:C,"MISSING")</f>
        <v>Lucknow</v>
      </c>
      <c r="G210" s="1" t="str">
        <f>_xlfn.XLOOKUP(D210,Products!A:A,Products!C:C,"MISSING")</f>
        <v>Furniture</v>
      </c>
      <c r="H210" s="1">
        <f>_xlfn.XLOOKUP(D210,Products!A:A,Products!D:D,"MISSING")</f>
        <v>3000</v>
      </c>
      <c r="I210" s="1" t="str">
        <f t="shared" si="6"/>
        <v>Jan</v>
      </c>
      <c r="J210" s="1">
        <f t="shared" si="7"/>
        <v>12000</v>
      </c>
      <c r="K210" s="1" t="str">
        <f>_xlfn.XLOOKUP(C210,Customers!A:A,Customers!B:B,"MISSING")</f>
        <v>Manav Arora</v>
      </c>
      <c r="L210" s="1" t="str">
        <f>_xlfn.XLOOKUP(D210,Products!A:A,Products!B:B,"MISSING")</f>
        <v>Chair</v>
      </c>
    </row>
    <row r="211" spans="1:12">
      <c r="A211" s="1">
        <v>1210</v>
      </c>
      <c r="B211" s="1" t="s">
        <v>321</v>
      </c>
      <c r="C211" s="1" t="s">
        <v>104</v>
      </c>
      <c r="D211" s="1" t="s">
        <v>149</v>
      </c>
      <c r="E211" s="1">
        <v>1</v>
      </c>
      <c r="F211" s="1" t="str">
        <f>_xlfn.XLOOKUP(C211,Customers!A:A,Customers!C:C,"MISSING")</f>
        <v>Ahmedabad</v>
      </c>
      <c r="G211" s="1" t="str">
        <f>_xlfn.XLOOKUP(D211,Products!A:A,Products!C:C,"MISSING")</f>
        <v>Furniture</v>
      </c>
      <c r="H211" s="1">
        <f>_xlfn.XLOOKUP(D211,Products!A:A,Products!D:D,"MISSING")</f>
        <v>25000</v>
      </c>
      <c r="I211" s="1" t="str">
        <f t="shared" si="6"/>
        <v>Nov</v>
      </c>
      <c r="J211" s="1">
        <f t="shared" si="7"/>
        <v>25000</v>
      </c>
      <c r="K211" s="1" t="str">
        <f>_xlfn.XLOOKUP(C211,Customers!A:A,Customers!B:B,"MISSING")</f>
        <v>Amit Verma</v>
      </c>
      <c r="L211" s="1" t="str">
        <f>_xlfn.XLOOKUP(D211,Products!A:A,Products!B:B,"MISSING")</f>
        <v>Sofa</v>
      </c>
    </row>
    <row r="212" spans="1:12">
      <c r="A212" s="1">
        <v>1211</v>
      </c>
      <c r="B212" s="1" t="s">
        <v>322</v>
      </c>
      <c r="C212" s="1" t="s">
        <v>78</v>
      </c>
      <c r="D212" s="1" t="s">
        <v>158</v>
      </c>
      <c r="E212" s="1">
        <v>2</v>
      </c>
      <c r="F212" s="1" t="str">
        <f>_xlfn.XLOOKUP(C212,Customers!A:A,Customers!C:C,"MISSING")</f>
        <v>Ahmedabad</v>
      </c>
      <c r="G212" s="1" t="str">
        <f>_xlfn.XLOOKUP(D212,Products!A:A,Products!C:C,"MISSING")</f>
        <v>Clothing</v>
      </c>
      <c r="H212" s="1">
        <f>_xlfn.XLOOKUP(D212,Products!A:A,Products!D:D,"MISSING")</f>
        <v>3500</v>
      </c>
      <c r="I212" s="1" t="str">
        <f t="shared" si="6"/>
        <v>Aug</v>
      </c>
      <c r="J212" s="1">
        <f t="shared" si="7"/>
        <v>7000</v>
      </c>
      <c r="K212" s="1" t="str">
        <f>_xlfn.XLOOKUP(C212,Customers!A:A,Customers!B:B,"MISSING")</f>
        <v>Priya Kapoor</v>
      </c>
      <c r="L212" s="1" t="str">
        <f>_xlfn.XLOOKUP(D212,Products!A:A,Products!B:B,"MISSING")</f>
        <v>Shoes</v>
      </c>
    </row>
    <row r="213" spans="1:12">
      <c r="A213" s="1">
        <v>1212</v>
      </c>
      <c r="B213" s="1" t="s">
        <v>295</v>
      </c>
      <c r="C213" s="1" t="s">
        <v>91</v>
      </c>
      <c r="D213" s="1" t="s">
        <v>156</v>
      </c>
      <c r="E213" s="1">
        <v>2</v>
      </c>
      <c r="F213" s="1" t="str">
        <f>_xlfn.XLOOKUP(C213,Customers!A:A,Customers!C:C,"MISSING")</f>
        <v>Jaipur</v>
      </c>
      <c r="G213" s="1" t="str">
        <f>_xlfn.XLOOKUP(D213,Products!A:A,Products!C:C,"MISSING")</f>
        <v>Clothing</v>
      </c>
      <c r="H213" s="1">
        <f>_xlfn.XLOOKUP(D213,Products!A:A,Products!D:D,"MISSING")</f>
        <v>1800</v>
      </c>
      <c r="I213" s="1" t="str">
        <f t="shared" si="6"/>
        <v>Jan</v>
      </c>
      <c r="J213" s="1">
        <f t="shared" si="7"/>
        <v>3600</v>
      </c>
      <c r="K213" s="1" t="str">
        <f>_xlfn.XLOOKUP(C213,Customers!A:A,Customers!B:B,"MISSING")</f>
        <v>Karan Mehta</v>
      </c>
      <c r="L213" s="1" t="str">
        <f>_xlfn.XLOOKUP(D213,Products!A:A,Products!B:B,"MISSING")</f>
        <v>Shirt</v>
      </c>
    </row>
    <row r="214" spans="1:12">
      <c r="A214" s="1">
        <v>1213</v>
      </c>
      <c r="B214" s="1" t="s">
        <v>323</v>
      </c>
      <c r="C214" s="1" t="s">
        <v>99</v>
      </c>
      <c r="D214" s="1" t="s">
        <v>137</v>
      </c>
      <c r="E214" s="1">
        <v>3</v>
      </c>
      <c r="F214" s="1" t="str">
        <f>_xlfn.XLOOKUP(C214,Customers!A:A,Customers!C:C,"MISSING")</f>
        <v>Pune</v>
      </c>
      <c r="G214" s="1" t="str">
        <f>_xlfn.XLOOKUP(D214,Products!A:A,Products!C:C,"MISSING")</f>
        <v>Electronics</v>
      </c>
      <c r="H214" s="1">
        <f>_xlfn.XLOOKUP(D214,Products!A:A,Products!D:D,"MISSING")</f>
        <v>50000</v>
      </c>
      <c r="I214" s="1" t="str">
        <f t="shared" si="6"/>
        <v>Mar</v>
      </c>
      <c r="J214" s="1">
        <f t="shared" si="7"/>
        <v>150000</v>
      </c>
      <c r="K214" s="1" t="str">
        <f>_xlfn.XLOOKUP(C214,Customers!A:A,Customers!B:B,"MISSING")</f>
        <v>Rohit Sen</v>
      </c>
      <c r="L214" s="1" t="str">
        <f>_xlfn.XLOOKUP(D214,Products!A:A,Products!B:B,"MISSING")</f>
        <v>Laptop</v>
      </c>
    </row>
    <row r="215" spans="1:12">
      <c r="A215" s="1">
        <v>1214</v>
      </c>
      <c r="B215" s="1" t="s">
        <v>324</v>
      </c>
      <c r="C215" s="1" t="s">
        <v>80</v>
      </c>
      <c r="D215" s="1" t="s">
        <v>140</v>
      </c>
      <c r="E215" s="1">
        <v>2</v>
      </c>
      <c r="F215" s="1" t="str">
        <f>_xlfn.XLOOKUP(C215,Customers!A:A,Customers!C:C,"MISSING")</f>
        <v>Kolkata</v>
      </c>
      <c r="G215" s="1" t="str">
        <f>_xlfn.XLOOKUP(D215,Products!A:A,Products!C:C,"MISSING")</f>
        <v>Electronics</v>
      </c>
      <c r="H215" s="1">
        <f>_xlfn.XLOOKUP(D215,Products!A:A,Products!D:D,"MISSING")</f>
        <v>20000</v>
      </c>
      <c r="I215" s="1" t="str">
        <f t="shared" si="6"/>
        <v>Sep</v>
      </c>
      <c r="J215" s="1">
        <f t="shared" si="7"/>
        <v>40000</v>
      </c>
      <c r="K215" s="1" t="str">
        <f>_xlfn.XLOOKUP(C215,Customers!A:A,Customers!B:B,"MISSING")</f>
        <v>Arjun Malhotra</v>
      </c>
      <c r="L215" s="1" t="str">
        <f>_xlfn.XLOOKUP(D215,Products!A:A,Products!B:B,"MISSING")</f>
        <v>Mobile</v>
      </c>
    </row>
    <row r="216" spans="1:12">
      <c r="A216" s="1">
        <v>1215</v>
      </c>
      <c r="B216" s="1" t="s">
        <v>325</v>
      </c>
      <c r="C216" s="1" t="s">
        <v>80</v>
      </c>
      <c r="D216" s="1" t="s">
        <v>158</v>
      </c>
      <c r="E216" s="1">
        <v>1</v>
      </c>
      <c r="F216" s="1" t="str">
        <f>_xlfn.XLOOKUP(C216,Customers!A:A,Customers!C:C,"MISSING")</f>
        <v>Kolkata</v>
      </c>
      <c r="G216" s="1" t="str">
        <f>_xlfn.XLOOKUP(D216,Products!A:A,Products!C:C,"MISSING")</f>
        <v>Clothing</v>
      </c>
      <c r="H216" s="1">
        <f>_xlfn.XLOOKUP(D216,Products!A:A,Products!D:D,"MISSING")</f>
        <v>3500</v>
      </c>
      <c r="I216" s="1" t="str">
        <f t="shared" si="6"/>
        <v>Jul</v>
      </c>
      <c r="J216" s="1">
        <f t="shared" si="7"/>
        <v>3500</v>
      </c>
      <c r="K216" s="1" t="str">
        <f>_xlfn.XLOOKUP(C216,Customers!A:A,Customers!B:B,"MISSING")</f>
        <v>Arjun Malhotra</v>
      </c>
      <c r="L216" s="1" t="str">
        <f>_xlfn.XLOOKUP(D216,Products!A:A,Products!B:B,"MISSING")</f>
        <v>Shoes</v>
      </c>
    </row>
    <row r="217" spans="1:12">
      <c r="A217" s="1">
        <v>1216</v>
      </c>
      <c r="B217" s="1" t="s">
        <v>326</v>
      </c>
      <c r="C217" s="1" t="s">
        <v>33</v>
      </c>
      <c r="D217" s="1" t="s">
        <v>140</v>
      </c>
      <c r="E217" s="1">
        <v>1</v>
      </c>
      <c r="F217" s="1" t="str">
        <f>_xlfn.XLOOKUP(C217,Customers!A:A,Customers!C:C,"MISSING")</f>
        <v>Ahmedabad</v>
      </c>
      <c r="G217" s="1" t="str">
        <f>_xlfn.XLOOKUP(D217,Products!A:A,Products!C:C,"MISSING")</f>
        <v>Electronics</v>
      </c>
      <c r="H217" s="1">
        <f>_xlfn.XLOOKUP(D217,Products!A:A,Products!D:D,"MISSING")</f>
        <v>20000</v>
      </c>
      <c r="I217" s="1" t="str">
        <f t="shared" si="6"/>
        <v>Jan</v>
      </c>
      <c r="J217" s="1">
        <f t="shared" si="7"/>
        <v>20000</v>
      </c>
      <c r="K217" s="1" t="str">
        <f>_xlfn.XLOOKUP(C217,Customers!A:A,Customers!B:B,"MISSING")</f>
        <v>Priya Kapoor</v>
      </c>
      <c r="L217" s="1" t="str">
        <f>_xlfn.XLOOKUP(D217,Products!A:A,Products!B:B,"MISSING")</f>
        <v>Mobile</v>
      </c>
    </row>
    <row r="218" spans="1:12">
      <c r="A218" s="1">
        <v>1217</v>
      </c>
      <c r="B218" s="1" t="s">
        <v>213</v>
      </c>
      <c r="C218" s="1" t="s">
        <v>112</v>
      </c>
      <c r="D218" s="1" t="s">
        <v>156</v>
      </c>
      <c r="E218" s="1">
        <v>4</v>
      </c>
      <c r="F218" s="1" t="str">
        <f>_xlfn.XLOOKUP(C218,Customers!A:A,Customers!C:C,"MISSING")</f>
        <v>Lucknow</v>
      </c>
      <c r="G218" s="1" t="str">
        <f>_xlfn.XLOOKUP(D218,Products!A:A,Products!C:C,"MISSING")</f>
        <v>Clothing</v>
      </c>
      <c r="H218" s="1">
        <f>_xlfn.XLOOKUP(D218,Products!A:A,Products!D:D,"MISSING")</f>
        <v>1800</v>
      </c>
      <c r="I218" s="1" t="str">
        <f t="shared" si="6"/>
        <v>Oct</v>
      </c>
      <c r="J218" s="1">
        <f t="shared" si="7"/>
        <v>7200</v>
      </c>
      <c r="K218" s="1" t="str">
        <f>_xlfn.XLOOKUP(C218,Customers!A:A,Customers!B:B,"MISSING")</f>
        <v>Manav Arora</v>
      </c>
      <c r="L218" s="1" t="str">
        <f>_xlfn.XLOOKUP(D218,Products!A:A,Products!B:B,"MISSING")</f>
        <v>Shirt</v>
      </c>
    </row>
    <row r="219" spans="1:12">
      <c r="A219" s="1">
        <v>1218</v>
      </c>
      <c r="B219" s="1" t="s">
        <v>272</v>
      </c>
      <c r="C219" s="1" t="s">
        <v>116</v>
      </c>
      <c r="D219" s="1" t="s">
        <v>154</v>
      </c>
      <c r="E219" s="1">
        <v>3</v>
      </c>
      <c r="F219" s="1" t="str">
        <f>_xlfn.XLOOKUP(C219,Customers!A:A,Customers!C:C,"MISSING")</f>
        <v>Kolkata</v>
      </c>
      <c r="G219" s="1" t="str">
        <f>_xlfn.XLOOKUP(D219,Products!A:A,Products!C:C,"MISSING")</f>
        <v>Clothing</v>
      </c>
      <c r="H219" s="1">
        <f>_xlfn.XLOOKUP(D219,Products!A:A,Products!D:D,"MISSING")</f>
        <v>2500</v>
      </c>
      <c r="I219" s="1" t="str">
        <f t="shared" si="6"/>
        <v>Jan</v>
      </c>
      <c r="J219" s="1">
        <f t="shared" si="7"/>
        <v>7500</v>
      </c>
      <c r="K219" s="1" t="str">
        <f>_xlfn.XLOOKUP(C219,Customers!A:A,Customers!B:B,"MISSING")</f>
        <v>Tanya Sethi</v>
      </c>
      <c r="L219" s="1" t="str">
        <f>_xlfn.XLOOKUP(D219,Products!A:A,Products!B:B,"MISSING")</f>
        <v>Jeans</v>
      </c>
    </row>
    <row r="220" spans="1:12">
      <c r="A220" s="1">
        <v>1219</v>
      </c>
      <c r="B220" s="1" t="s">
        <v>327</v>
      </c>
      <c r="C220" s="1" t="s">
        <v>73</v>
      </c>
      <c r="D220" s="1" t="s">
        <v>154</v>
      </c>
      <c r="E220" s="1">
        <v>1</v>
      </c>
      <c r="F220" s="1" t="str">
        <f>_xlfn.XLOOKUP(C220,Customers!A:A,Customers!C:C,"MISSING")</f>
        <v>Pune</v>
      </c>
      <c r="G220" s="1" t="str">
        <f>_xlfn.XLOOKUP(D220,Products!A:A,Products!C:C,"MISSING")</f>
        <v>Clothing</v>
      </c>
      <c r="H220" s="1">
        <f>_xlfn.XLOOKUP(D220,Products!A:A,Products!D:D,"MISSING")</f>
        <v>2500</v>
      </c>
      <c r="I220" s="1" t="str">
        <f t="shared" si="6"/>
        <v>Aug</v>
      </c>
      <c r="J220" s="1">
        <f t="shared" si="7"/>
        <v>2500</v>
      </c>
      <c r="K220" s="1" t="str">
        <f>_xlfn.XLOOKUP(C220,Customers!A:A,Customers!B:B,"MISSING")</f>
        <v>Rahul Sharma</v>
      </c>
      <c r="L220" s="1" t="str">
        <f>_xlfn.XLOOKUP(D220,Products!A:A,Products!B:B,"MISSING")</f>
        <v>Jeans</v>
      </c>
    </row>
    <row r="221" spans="1:12">
      <c r="A221" s="1">
        <v>1220</v>
      </c>
      <c r="B221" s="1" t="s">
        <v>328</v>
      </c>
      <c r="C221" s="1" t="s">
        <v>58</v>
      </c>
      <c r="D221" s="1" t="s">
        <v>140</v>
      </c>
      <c r="E221" s="1">
        <v>4</v>
      </c>
      <c r="F221" s="1" t="str">
        <f>_xlfn.XLOOKUP(C221,Customers!A:A,Customers!C:C,"MISSING")</f>
        <v>Bangalore</v>
      </c>
      <c r="G221" s="1" t="str">
        <f>_xlfn.XLOOKUP(D221,Products!A:A,Products!C:C,"MISSING")</f>
        <v>Electronics</v>
      </c>
      <c r="H221" s="1">
        <f>_xlfn.XLOOKUP(D221,Products!A:A,Products!D:D,"MISSING")</f>
        <v>20000</v>
      </c>
      <c r="I221" s="1" t="str">
        <f t="shared" si="6"/>
        <v>Jan</v>
      </c>
      <c r="J221" s="1">
        <f t="shared" si="7"/>
        <v>80000</v>
      </c>
      <c r="K221" s="1" t="str">
        <f>_xlfn.XLOOKUP(C221,Customers!A:A,Customers!B:B,"MISSING")</f>
        <v>Rohit Sen</v>
      </c>
      <c r="L221" s="1" t="str">
        <f>_xlfn.XLOOKUP(D221,Products!A:A,Products!B:B,"MISSING")</f>
        <v>Mobile</v>
      </c>
    </row>
    <row r="222" spans="1:12">
      <c r="A222" s="1">
        <v>1221</v>
      </c>
      <c r="B222" s="1" t="s">
        <v>329</v>
      </c>
      <c r="C222" s="1" t="s">
        <v>61</v>
      </c>
      <c r="D222" s="1" t="s">
        <v>158</v>
      </c>
      <c r="E222" s="1">
        <v>2</v>
      </c>
      <c r="F222" s="1" t="str">
        <f>_xlfn.XLOOKUP(C222,Customers!A:A,Customers!C:C,"MISSING")</f>
        <v>Delhi</v>
      </c>
      <c r="G222" s="1" t="str">
        <f>_xlfn.XLOOKUP(D222,Products!A:A,Products!C:C,"MISSING")</f>
        <v>Clothing</v>
      </c>
      <c r="H222" s="1">
        <f>_xlfn.XLOOKUP(D222,Products!A:A,Products!D:D,"MISSING")</f>
        <v>3500</v>
      </c>
      <c r="I222" s="1" t="str">
        <f t="shared" si="6"/>
        <v>Jun</v>
      </c>
      <c r="J222" s="1">
        <f t="shared" si="7"/>
        <v>7000</v>
      </c>
      <c r="K222" s="1" t="str">
        <f>_xlfn.XLOOKUP(C222,Customers!A:A,Customers!B:B,"MISSING")</f>
        <v>Rahul Sharma</v>
      </c>
      <c r="L222" s="1" t="str">
        <f>_xlfn.XLOOKUP(D222,Products!A:A,Products!B:B,"MISSING")</f>
        <v>Shoes</v>
      </c>
    </row>
    <row r="223" spans="1:12">
      <c r="A223" s="1">
        <v>1222</v>
      </c>
      <c r="B223" s="1" t="s">
        <v>174</v>
      </c>
      <c r="C223" s="1" t="s">
        <v>57</v>
      </c>
      <c r="D223" s="1" t="s">
        <v>147</v>
      </c>
      <c r="E223" s="1">
        <v>1</v>
      </c>
      <c r="F223" s="1" t="str">
        <f>_xlfn.XLOOKUP(C223,Customers!A:A,Customers!C:C,"MISSING")</f>
        <v>Jaipur</v>
      </c>
      <c r="G223" s="1" t="str">
        <f>_xlfn.XLOOKUP(D223,Products!A:A,Products!C:C,"MISSING")</f>
        <v>Furniture</v>
      </c>
      <c r="H223" s="1">
        <f>_xlfn.XLOOKUP(D223,Products!A:A,Products!D:D,"MISSING")</f>
        <v>7000</v>
      </c>
      <c r="I223" s="1" t="str">
        <f t="shared" si="6"/>
        <v>Jun</v>
      </c>
      <c r="J223" s="1">
        <f t="shared" si="7"/>
        <v>7000</v>
      </c>
      <c r="K223" s="1" t="str">
        <f>_xlfn.XLOOKUP(C223,Customers!A:A,Customers!B:B,"MISSING")</f>
        <v>Manav Arora</v>
      </c>
      <c r="L223" s="1" t="str">
        <f>_xlfn.XLOOKUP(D223,Products!A:A,Products!B:B,"MISSING")</f>
        <v>Table</v>
      </c>
    </row>
    <row r="224" spans="1:12">
      <c r="A224" s="1">
        <v>1223</v>
      </c>
      <c r="B224" s="1" t="s">
        <v>330</v>
      </c>
      <c r="C224" s="1" t="s">
        <v>53</v>
      </c>
      <c r="D224" s="1" t="s">
        <v>137</v>
      </c>
      <c r="E224" s="1">
        <v>2</v>
      </c>
      <c r="F224" s="1" t="str">
        <f>_xlfn.XLOOKUP(C224,Customers!A:A,Customers!C:C,"MISSING")</f>
        <v>Chennai</v>
      </c>
      <c r="G224" s="1" t="str">
        <f>_xlfn.XLOOKUP(D224,Products!A:A,Products!C:C,"MISSING")</f>
        <v>Electronics</v>
      </c>
      <c r="H224" s="1">
        <f>_xlfn.XLOOKUP(D224,Products!A:A,Products!D:D,"MISSING")</f>
        <v>50000</v>
      </c>
      <c r="I224" s="1" t="str">
        <f t="shared" si="6"/>
        <v>Jun</v>
      </c>
      <c r="J224" s="1">
        <f t="shared" si="7"/>
        <v>100000</v>
      </c>
      <c r="K224" s="1" t="str">
        <f>_xlfn.XLOOKUP(C224,Customers!A:A,Customers!B:B,"MISSING")</f>
        <v>Sneha Iyer</v>
      </c>
      <c r="L224" s="1" t="str">
        <f>_xlfn.XLOOKUP(D224,Products!A:A,Products!B:B,"MISSING")</f>
        <v>Laptop</v>
      </c>
    </row>
    <row r="225" spans="1:12">
      <c r="A225" s="1">
        <v>1224</v>
      </c>
      <c r="B225" s="1" t="s">
        <v>331</v>
      </c>
      <c r="C225" s="1" t="s">
        <v>90</v>
      </c>
      <c r="D225" s="1" t="s">
        <v>147</v>
      </c>
      <c r="E225" s="1">
        <v>3</v>
      </c>
      <c r="F225" s="1" t="str">
        <f>_xlfn.XLOOKUP(C225,Customers!A:A,Customers!C:C,"MISSING")</f>
        <v>Mumbai</v>
      </c>
      <c r="G225" s="1" t="str">
        <f>_xlfn.XLOOKUP(D225,Products!A:A,Products!C:C,"MISSING")</f>
        <v>Furniture</v>
      </c>
      <c r="H225" s="1">
        <f>_xlfn.XLOOKUP(D225,Products!A:A,Products!D:D,"MISSING")</f>
        <v>7000</v>
      </c>
      <c r="I225" s="1" t="str">
        <f t="shared" si="6"/>
        <v>Oct</v>
      </c>
      <c r="J225" s="1">
        <f t="shared" si="7"/>
        <v>21000</v>
      </c>
      <c r="K225" s="1" t="str">
        <f>_xlfn.XLOOKUP(C225,Customers!A:A,Customers!B:B,"MISSING")</f>
        <v>Karan Mehta</v>
      </c>
      <c r="L225" s="1" t="str">
        <f>_xlfn.XLOOKUP(D225,Products!A:A,Products!B:B,"MISSING")</f>
        <v>Table</v>
      </c>
    </row>
    <row r="226" spans="1:12">
      <c r="A226" s="1">
        <v>1225</v>
      </c>
      <c r="B226" s="1" t="s">
        <v>332</v>
      </c>
      <c r="C226" s="1" t="s">
        <v>89</v>
      </c>
      <c r="D226" s="1" t="s">
        <v>140</v>
      </c>
      <c r="E226" s="1">
        <v>3</v>
      </c>
      <c r="F226" s="1" t="str">
        <f>_xlfn.XLOOKUP(C226,Customers!A:A,Customers!C:C,"MISSING")</f>
        <v>Bangalore</v>
      </c>
      <c r="G226" s="1" t="str">
        <f>_xlfn.XLOOKUP(D226,Products!A:A,Products!C:C,"MISSING")</f>
        <v>Electronics</v>
      </c>
      <c r="H226" s="1">
        <f>_xlfn.XLOOKUP(D226,Products!A:A,Products!D:D,"MISSING")</f>
        <v>20000</v>
      </c>
      <c r="I226" s="1" t="str">
        <f t="shared" si="6"/>
        <v>May</v>
      </c>
      <c r="J226" s="1">
        <f t="shared" si="7"/>
        <v>60000</v>
      </c>
      <c r="K226" s="1" t="str">
        <f>_xlfn.XLOOKUP(C226,Customers!A:A,Customers!B:B,"MISSING")</f>
        <v>Priya Kapoor</v>
      </c>
      <c r="L226" s="1" t="str">
        <f>_xlfn.XLOOKUP(D226,Products!A:A,Products!B:B,"MISSING")</f>
        <v>Mobile</v>
      </c>
    </row>
    <row r="227" spans="1:12">
      <c r="A227" s="1">
        <v>1226</v>
      </c>
      <c r="B227" s="1" t="s">
        <v>266</v>
      </c>
      <c r="C227" s="1" t="s">
        <v>46</v>
      </c>
      <c r="D227" s="1" t="s">
        <v>147</v>
      </c>
      <c r="E227" s="1">
        <v>5</v>
      </c>
      <c r="F227" s="1" t="str">
        <f>_xlfn.XLOOKUP(C227,Customers!A:A,Customers!C:C,"MISSING")</f>
        <v>Bangalore</v>
      </c>
      <c r="G227" s="1" t="str">
        <f>_xlfn.XLOOKUP(D227,Products!A:A,Products!C:C,"MISSING")</f>
        <v>Furniture</v>
      </c>
      <c r="H227" s="1">
        <f>_xlfn.XLOOKUP(D227,Products!A:A,Products!D:D,"MISSING")</f>
        <v>7000</v>
      </c>
      <c r="I227" s="1" t="str">
        <f t="shared" si="6"/>
        <v>Nov</v>
      </c>
      <c r="J227" s="1">
        <f t="shared" si="7"/>
        <v>35000</v>
      </c>
      <c r="K227" s="1" t="str">
        <f>_xlfn.XLOOKUP(C227,Customers!A:A,Customers!B:B,"MISSING")</f>
        <v>Manav Arora</v>
      </c>
      <c r="L227" s="1" t="str">
        <f>_xlfn.XLOOKUP(D227,Products!A:A,Products!B:B,"MISSING")</f>
        <v>Table</v>
      </c>
    </row>
    <row r="228" spans="1:12">
      <c r="A228" s="1">
        <v>1227</v>
      </c>
      <c r="B228" s="1" t="s">
        <v>187</v>
      </c>
      <c r="C228" s="1" t="s">
        <v>116</v>
      </c>
      <c r="D228" s="1" t="s">
        <v>158</v>
      </c>
      <c r="E228" s="1">
        <v>3</v>
      </c>
      <c r="F228" s="1" t="str">
        <f>_xlfn.XLOOKUP(C228,Customers!A:A,Customers!C:C,"MISSING")</f>
        <v>Kolkata</v>
      </c>
      <c r="G228" s="1" t="str">
        <f>_xlfn.XLOOKUP(D228,Products!A:A,Products!C:C,"MISSING")</f>
        <v>Clothing</v>
      </c>
      <c r="H228" s="1">
        <f>_xlfn.XLOOKUP(D228,Products!A:A,Products!D:D,"MISSING")</f>
        <v>3500</v>
      </c>
      <c r="I228" s="1" t="str">
        <f t="shared" si="6"/>
        <v>Feb</v>
      </c>
      <c r="J228" s="1">
        <f t="shared" si="7"/>
        <v>10500</v>
      </c>
      <c r="K228" s="1" t="str">
        <f>_xlfn.XLOOKUP(C228,Customers!A:A,Customers!B:B,"MISSING")</f>
        <v>Tanya Sethi</v>
      </c>
      <c r="L228" s="1" t="str">
        <f>_xlfn.XLOOKUP(D228,Products!A:A,Products!B:B,"MISSING")</f>
        <v>Shoes</v>
      </c>
    </row>
    <row r="229" spans="1:12">
      <c r="A229" s="1">
        <v>1228</v>
      </c>
      <c r="B229" s="1" t="s">
        <v>333</v>
      </c>
      <c r="C229" s="1" t="s">
        <v>31</v>
      </c>
      <c r="D229" s="1" t="s">
        <v>156</v>
      </c>
      <c r="E229" s="1">
        <v>1</v>
      </c>
      <c r="F229" s="1" t="str">
        <f>_xlfn.XLOOKUP(C229,Customers!A:A,Customers!C:C,"MISSING")</f>
        <v>Bangalore</v>
      </c>
      <c r="G229" s="1" t="str">
        <f>_xlfn.XLOOKUP(D229,Products!A:A,Products!C:C,"MISSING")</f>
        <v>Clothing</v>
      </c>
      <c r="H229" s="1">
        <f>_xlfn.XLOOKUP(D229,Products!A:A,Products!D:D,"MISSING")</f>
        <v>1800</v>
      </c>
      <c r="I229" s="1" t="str">
        <f t="shared" si="6"/>
        <v>Mar</v>
      </c>
      <c r="J229" s="1">
        <f t="shared" si="7"/>
        <v>1800</v>
      </c>
      <c r="K229" s="1" t="str">
        <f>_xlfn.XLOOKUP(C229,Customers!A:A,Customers!B:B,"MISSING")</f>
        <v>Karan Mehta</v>
      </c>
      <c r="L229" s="1" t="str">
        <f>_xlfn.XLOOKUP(D229,Products!A:A,Products!B:B,"MISSING")</f>
        <v>Shirt</v>
      </c>
    </row>
    <row r="230" spans="1:12">
      <c r="A230" s="1">
        <v>1229</v>
      </c>
      <c r="B230" s="1" t="s">
        <v>196</v>
      </c>
      <c r="C230" s="1" t="s">
        <v>76</v>
      </c>
      <c r="D230" s="1" t="s">
        <v>144</v>
      </c>
      <c r="E230" s="1">
        <v>3</v>
      </c>
      <c r="F230" s="1" t="str">
        <f>_xlfn.XLOOKUP(C230,Customers!A:A,Customers!C:C,"MISSING")</f>
        <v>Ahmedabad</v>
      </c>
      <c r="G230" s="1" t="str">
        <f>_xlfn.XLOOKUP(D230,Products!A:A,Products!C:C,"MISSING")</f>
        <v>Furniture</v>
      </c>
      <c r="H230" s="1">
        <f>_xlfn.XLOOKUP(D230,Products!A:A,Products!D:D,"MISSING")</f>
        <v>3000</v>
      </c>
      <c r="I230" s="1" t="str">
        <f t="shared" si="6"/>
        <v>Jun</v>
      </c>
      <c r="J230" s="1">
        <f t="shared" si="7"/>
        <v>9000</v>
      </c>
      <c r="K230" s="1" t="str">
        <f>_xlfn.XLOOKUP(C230,Customers!A:A,Customers!B:B,"MISSING")</f>
        <v>Riya Das</v>
      </c>
      <c r="L230" s="1" t="str">
        <f>_xlfn.XLOOKUP(D230,Products!A:A,Products!B:B,"MISSING")</f>
        <v>Chair</v>
      </c>
    </row>
    <row r="231" spans="1:12">
      <c r="A231" s="1">
        <v>1230</v>
      </c>
      <c r="B231" s="1" t="s">
        <v>334</v>
      </c>
      <c r="C231" s="1" t="s">
        <v>70</v>
      </c>
      <c r="D231" s="1" t="s">
        <v>144</v>
      </c>
      <c r="E231" s="1">
        <v>4</v>
      </c>
      <c r="F231" s="1" t="str">
        <f>_xlfn.XLOOKUP(C231,Customers!A:A,Customers!C:C,"MISSING")</f>
        <v>Delhi</v>
      </c>
      <c r="G231" s="1" t="str">
        <f>_xlfn.XLOOKUP(D231,Products!A:A,Products!C:C,"MISSING")</f>
        <v>Furniture</v>
      </c>
      <c r="H231" s="1">
        <f>_xlfn.XLOOKUP(D231,Products!A:A,Products!D:D,"MISSING")</f>
        <v>3000</v>
      </c>
      <c r="I231" s="1" t="str">
        <f t="shared" si="6"/>
        <v>Apr</v>
      </c>
      <c r="J231" s="1">
        <f t="shared" si="7"/>
        <v>12000</v>
      </c>
      <c r="K231" s="1" t="str">
        <f>_xlfn.XLOOKUP(C231,Customers!A:A,Customers!B:B,"MISSING")</f>
        <v>Amit Verma</v>
      </c>
      <c r="L231" s="1" t="str">
        <f>_xlfn.XLOOKUP(D231,Products!A:A,Products!B:B,"MISSING")</f>
        <v>Chair</v>
      </c>
    </row>
    <row r="232" spans="1:12">
      <c r="A232" s="1">
        <v>1231</v>
      </c>
      <c r="B232" s="1" t="s">
        <v>206</v>
      </c>
      <c r="C232" s="1" t="s">
        <v>80</v>
      </c>
      <c r="D232" s="1" t="s">
        <v>147</v>
      </c>
      <c r="E232" s="1">
        <v>3</v>
      </c>
      <c r="F232" s="1" t="str">
        <f>_xlfn.XLOOKUP(C232,Customers!A:A,Customers!C:C,"MISSING")</f>
        <v>Kolkata</v>
      </c>
      <c r="G232" s="1" t="str">
        <f>_xlfn.XLOOKUP(D232,Products!A:A,Products!C:C,"MISSING")</f>
        <v>Furniture</v>
      </c>
      <c r="H232" s="1">
        <f>_xlfn.XLOOKUP(D232,Products!A:A,Products!D:D,"MISSING")</f>
        <v>7000</v>
      </c>
      <c r="I232" s="1" t="str">
        <f t="shared" si="6"/>
        <v>Jun</v>
      </c>
      <c r="J232" s="1">
        <f t="shared" si="7"/>
        <v>21000</v>
      </c>
      <c r="K232" s="1" t="str">
        <f>_xlfn.XLOOKUP(C232,Customers!A:A,Customers!B:B,"MISSING")</f>
        <v>Arjun Malhotra</v>
      </c>
      <c r="L232" s="1" t="str">
        <f>_xlfn.XLOOKUP(D232,Products!A:A,Products!B:B,"MISSING")</f>
        <v>Table</v>
      </c>
    </row>
    <row r="233" spans="1:12">
      <c r="A233" s="1">
        <v>1232</v>
      </c>
      <c r="B233" s="1" t="s">
        <v>273</v>
      </c>
      <c r="C233" s="1" t="s">
        <v>82</v>
      </c>
      <c r="D233" s="1" t="s">
        <v>137</v>
      </c>
      <c r="E233" s="1">
        <v>4</v>
      </c>
      <c r="F233" s="1" t="str">
        <f>_xlfn.XLOOKUP(C233,Customers!A:A,Customers!C:C,"MISSING")</f>
        <v>Hyderabad</v>
      </c>
      <c r="G233" s="1" t="str">
        <f>_xlfn.XLOOKUP(D233,Products!A:A,Products!C:C,"MISSING")</f>
        <v>Electronics</v>
      </c>
      <c r="H233" s="1">
        <f>_xlfn.XLOOKUP(D233,Products!A:A,Products!D:D,"MISSING")</f>
        <v>50000</v>
      </c>
      <c r="I233" s="1" t="str">
        <f t="shared" si="6"/>
        <v>Aug</v>
      </c>
      <c r="J233" s="1">
        <f t="shared" si="7"/>
        <v>200000</v>
      </c>
      <c r="K233" s="1" t="str">
        <f>_xlfn.XLOOKUP(C233,Customers!A:A,Customers!B:B,"MISSING")</f>
        <v>Priya Kapoor</v>
      </c>
      <c r="L233" s="1" t="str">
        <f>_xlfn.XLOOKUP(D233,Products!A:A,Products!B:B,"MISSING")</f>
        <v>Laptop</v>
      </c>
    </row>
    <row r="234" spans="1:12">
      <c r="A234" s="1">
        <v>1233</v>
      </c>
      <c r="B234" s="1" t="s">
        <v>230</v>
      </c>
      <c r="C234" s="1" t="s">
        <v>118</v>
      </c>
      <c r="D234" s="1" t="s">
        <v>144</v>
      </c>
      <c r="E234" s="1">
        <v>4</v>
      </c>
      <c r="F234" s="1" t="str">
        <f>_xlfn.XLOOKUP(C234,Customers!A:A,Customers!C:C,"MISSING")</f>
        <v>Hyderabad</v>
      </c>
      <c r="G234" s="1" t="str">
        <f>_xlfn.XLOOKUP(D234,Products!A:A,Products!C:C,"MISSING")</f>
        <v>Furniture</v>
      </c>
      <c r="H234" s="1">
        <f>_xlfn.XLOOKUP(D234,Products!A:A,Products!D:D,"MISSING")</f>
        <v>3000</v>
      </c>
      <c r="I234" s="1" t="str">
        <f t="shared" si="6"/>
        <v>Nov</v>
      </c>
      <c r="J234" s="1">
        <f t="shared" si="7"/>
        <v>12000</v>
      </c>
      <c r="K234" s="1" t="str">
        <f>_xlfn.XLOOKUP(C234,Customers!A:A,Customers!B:B,"MISSING")</f>
        <v>Riya Das</v>
      </c>
      <c r="L234" s="1" t="str">
        <f>_xlfn.XLOOKUP(D234,Products!A:A,Products!B:B,"MISSING")</f>
        <v>Chair</v>
      </c>
    </row>
    <row r="235" spans="1:12">
      <c r="A235" s="1">
        <v>1234</v>
      </c>
      <c r="B235" s="1" t="s">
        <v>335</v>
      </c>
      <c r="C235" s="1" t="s">
        <v>109</v>
      </c>
      <c r="D235" s="1" t="s">
        <v>154</v>
      </c>
      <c r="E235" s="1">
        <v>2</v>
      </c>
      <c r="F235" s="1" t="str">
        <f>_xlfn.XLOOKUP(C235,Customers!A:A,Customers!C:C,"MISSING")</f>
        <v>Mumbai</v>
      </c>
      <c r="G235" s="1" t="str">
        <f>_xlfn.XLOOKUP(D235,Products!A:A,Products!C:C,"MISSING")</f>
        <v>Clothing</v>
      </c>
      <c r="H235" s="1">
        <f>_xlfn.XLOOKUP(D235,Products!A:A,Products!D:D,"MISSING")</f>
        <v>2500</v>
      </c>
      <c r="I235" s="1" t="str">
        <f t="shared" si="6"/>
        <v>Feb</v>
      </c>
      <c r="J235" s="1">
        <f t="shared" si="7"/>
        <v>5000</v>
      </c>
      <c r="K235" s="1" t="str">
        <f>_xlfn.XLOOKUP(C235,Customers!A:A,Customers!B:B,"MISSING")</f>
        <v>Nitin Joshi</v>
      </c>
      <c r="L235" s="1" t="str">
        <f>_xlfn.XLOOKUP(D235,Products!A:A,Products!B:B,"MISSING")</f>
        <v>Jeans</v>
      </c>
    </row>
    <row r="236" spans="1:12">
      <c r="A236" s="1">
        <v>1235</v>
      </c>
      <c r="B236" s="1" t="s">
        <v>325</v>
      </c>
      <c r="C236" s="1" t="s">
        <v>117</v>
      </c>
      <c r="D236" s="1" t="s">
        <v>140</v>
      </c>
      <c r="E236" s="1">
        <v>1</v>
      </c>
      <c r="F236" s="1" t="str">
        <f>_xlfn.XLOOKUP(C236,Customers!A:A,Customers!C:C,"MISSING")</f>
        <v>Kolkata</v>
      </c>
      <c r="G236" s="1" t="str">
        <f>_xlfn.XLOOKUP(D236,Products!A:A,Products!C:C,"MISSING")</f>
        <v>Electronics</v>
      </c>
      <c r="H236" s="1">
        <f>_xlfn.XLOOKUP(D236,Products!A:A,Products!D:D,"MISSING")</f>
        <v>20000</v>
      </c>
      <c r="I236" s="1" t="str">
        <f t="shared" si="6"/>
        <v>Jul</v>
      </c>
      <c r="J236" s="1">
        <f t="shared" si="7"/>
        <v>20000</v>
      </c>
      <c r="K236" s="1" t="str">
        <f>_xlfn.XLOOKUP(C236,Customers!A:A,Customers!B:B,"MISSING")</f>
        <v>Tanya Sethi</v>
      </c>
      <c r="L236" s="1" t="str">
        <f>_xlfn.XLOOKUP(D236,Products!A:A,Products!B:B,"MISSING")</f>
        <v>Mobile</v>
      </c>
    </row>
    <row r="237" spans="1:12">
      <c r="A237" s="1">
        <v>1236</v>
      </c>
      <c r="B237" s="1" t="s">
        <v>325</v>
      </c>
      <c r="C237" s="1" t="s">
        <v>90</v>
      </c>
      <c r="D237" s="1" t="s">
        <v>156</v>
      </c>
      <c r="E237" s="1">
        <v>2</v>
      </c>
      <c r="F237" s="1" t="str">
        <f>_xlfn.XLOOKUP(C237,Customers!A:A,Customers!C:C,"MISSING")</f>
        <v>Mumbai</v>
      </c>
      <c r="G237" s="1" t="str">
        <f>_xlfn.XLOOKUP(D237,Products!A:A,Products!C:C,"MISSING")</f>
        <v>Clothing</v>
      </c>
      <c r="H237" s="1">
        <f>_xlfn.XLOOKUP(D237,Products!A:A,Products!D:D,"MISSING")</f>
        <v>1800</v>
      </c>
      <c r="I237" s="1" t="str">
        <f t="shared" si="6"/>
        <v>Jul</v>
      </c>
      <c r="J237" s="1">
        <f t="shared" si="7"/>
        <v>3600</v>
      </c>
      <c r="K237" s="1" t="str">
        <f>_xlfn.XLOOKUP(C237,Customers!A:A,Customers!B:B,"MISSING")</f>
        <v>Karan Mehta</v>
      </c>
      <c r="L237" s="1" t="str">
        <f>_xlfn.XLOOKUP(D237,Products!A:A,Products!B:B,"MISSING")</f>
        <v>Shirt</v>
      </c>
    </row>
    <row r="238" spans="1:12">
      <c r="A238" s="1">
        <v>1237</v>
      </c>
      <c r="B238" s="1" t="s">
        <v>336</v>
      </c>
      <c r="C238" s="1" t="s">
        <v>129</v>
      </c>
      <c r="D238" s="1" t="s">
        <v>156</v>
      </c>
      <c r="E238" s="1">
        <v>5</v>
      </c>
      <c r="F238" s="1" t="str">
        <f>_xlfn.XLOOKUP(C238,Customers!A:A,Customers!C:C,"MISSING")</f>
        <v>Chennai</v>
      </c>
      <c r="G238" s="1" t="str">
        <f>_xlfn.XLOOKUP(D238,Products!A:A,Products!C:C,"MISSING")</f>
        <v>Clothing</v>
      </c>
      <c r="H238" s="1">
        <f>_xlfn.XLOOKUP(D238,Products!A:A,Products!D:D,"MISSING")</f>
        <v>1800</v>
      </c>
      <c r="I238" s="1" t="str">
        <f t="shared" si="6"/>
        <v>Apr</v>
      </c>
      <c r="J238" s="1">
        <f t="shared" si="7"/>
        <v>9000</v>
      </c>
      <c r="K238" s="1" t="str">
        <f>_xlfn.XLOOKUP(C238,Customers!A:A,Customers!B:B,"MISSING")</f>
        <v>Neha Singh</v>
      </c>
      <c r="L238" s="1" t="str">
        <f>_xlfn.XLOOKUP(D238,Products!A:A,Products!B:B,"MISSING")</f>
        <v>Shirt</v>
      </c>
    </row>
    <row r="239" spans="1:12">
      <c r="A239" s="1">
        <v>1238</v>
      </c>
      <c r="B239" s="1" t="s">
        <v>337</v>
      </c>
      <c r="C239" s="1" t="s">
        <v>63</v>
      </c>
      <c r="D239" s="1" t="s">
        <v>156</v>
      </c>
      <c r="E239" s="1">
        <v>5</v>
      </c>
      <c r="F239" s="1" t="str">
        <f>_xlfn.XLOOKUP(C239,Customers!A:A,Customers!C:C,"MISSING")</f>
        <v>Delhi</v>
      </c>
      <c r="G239" s="1" t="str">
        <f>_xlfn.XLOOKUP(D239,Products!A:A,Products!C:C,"MISSING")</f>
        <v>Clothing</v>
      </c>
      <c r="H239" s="1">
        <f>_xlfn.XLOOKUP(D239,Products!A:A,Products!D:D,"MISSING")</f>
        <v>1800</v>
      </c>
      <c r="I239" s="1" t="str">
        <f t="shared" si="6"/>
        <v>Aug</v>
      </c>
      <c r="J239" s="1">
        <f t="shared" si="7"/>
        <v>9000</v>
      </c>
      <c r="K239" s="1" t="str">
        <f>_xlfn.XLOOKUP(C239,Customers!A:A,Customers!B:B,"MISSING")</f>
        <v>Vikas Nair</v>
      </c>
      <c r="L239" s="1" t="str">
        <f>_xlfn.XLOOKUP(D239,Products!A:A,Products!B:B,"MISSING")</f>
        <v>Shirt</v>
      </c>
    </row>
    <row r="240" spans="1:12">
      <c r="A240" s="1">
        <v>1239</v>
      </c>
      <c r="B240" s="1" t="s">
        <v>338</v>
      </c>
      <c r="C240" s="1" t="s">
        <v>126</v>
      </c>
      <c r="D240" s="1" t="s">
        <v>154</v>
      </c>
      <c r="E240" s="1">
        <v>1</v>
      </c>
      <c r="F240" s="1" t="str">
        <f>_xlfn.XLOOKUP(C240,Customers!A:A,Customers!C:C,"MISSING")</f>
        <v>Mumbai</v>
      </c>
      <c r="G240" s="1" t="str">
        <f>_xlfn.XLOOKUP(D240,Products!A:A,Products!C:C,"MISSING")</f>
        <v>Clothing</v>
      </c>
      <c r="H240" s="1">
        <f>_xlfn.XLOOKUP(D240,Products!A:A,Products!D:D,"MISSING")</f>
        <v>2500</v>
      </c>
      <c r="I240" s="1" t="str">
        <f t="shared" si="6"/>
        <v>Aug</v>
      </c>
      <c r="J240" s="1">
        <f t="shared" si="7"/>
        <v>2500</v>
      </c>
      <c r="K240" s="1" t="str">
        <f>_xlfn.XLOOKUP(C240,Customers!A:A,Customers!B:B,"MISSING")</f>
        <v>Sejal Shah</v>
      </c>
      <c r="L240" s="1" t="str">
        <f>_xlfn.XLOOKUP(D240,Products!A:A,Products!B:B,"MISSING")</f>
        <v>Jeans</v>
      </c>
    </row>
    <row r="241" spans="1:12">
      <c r="A241" s="1">
        <v>1240</v>
      </c>
      <c r="B241" s="1" t="s">
        <v>207</v>
      </c>
      <c r="C241" s="1" t="s">
        <v>44</v>
      </c>
      <c r="D241" s="1" t="s">
        <v>142</v>
      </c>
      <c r="E241" s="1">
        <v>5</v>
      </c>
      <c r="F241" s="1" t="str">
        <f>_xlfn.XLOOKUP(C241,Customers!A:A,Customers!C:C,"MISSING")</f>
        <v>Lucknow</v>
      </c>
      <c r="G241" s="1" t="str">
        <f>_xlfn.XLOOKUP(D241,Products!A:A,Products!C:C,"MISSING")</f>
        <v>Electronics</v>
      </c>
      <c r="H241" s="1">
        <f>_xlfn.XLOOKUP(D241,Products!A:A,Products!D:D,"MISSING")</f>
        <v>15000</v>
      </c>
      <c r="I241" s="1" t="str">
        <f t="shared" si="6"/>
        <v>Jul</v>
      </c>
      <c r="J241" s="1">
        <f t="shared" si="7"/>
        <v>75000</v>
      </c>
      <c r="K241" s="1" t="str">
        <f>_xlfn.XLOOKUP(C241,Customers!A:A,Customers!B:B,"MISSING")</f>
        <v>Nitin Joshi</v>
      </c>
      <c r="L241" s="1" t="str">
        <f>_xlfn.XLOOKUP(D241,Products!A:A,Products!B:B,"MISSING")</f>
        <v>Tablet</v>
      </c>
    </row>
    <row r="242" spans="1:12">
      <c r="A242" s="1">
        <v>1241</v>
      </c>
      <c r="B242" s="1" t="s">
        <v>339</v>
      </c>
      <c r="C242" s="1" t="s">
        <v>94</v>
      </c>
      <c r="D242" s="1" t="s">
        <v>154</v>
      </c>
      <c r="E242" s="1">
        <v>2</v>
      </c>
      <c r="F242" s="1" t="str">
        <f>_xlfn.XLOOKUP(C242,Customers!A:A,Customers!C:C,"MISSING")</f>
        <v>Delhi</v>
      </c>
      <c r="G242" s="1" t="str">
        <f>_xlfn.XLOOKUP(D242,Products!A:A,Products!C:C,"MISSING")</f>
        <v>Clothing</v>
      </c>
      <c r="H242" s="1">
        <f>_xlfn.XLOOKUP(D242,Products!A:A,Products!D:D,"MISSING")</f>
        <v>2500</v>
      </c>
      <c r="I242" s="1" t="str">
        <f t="shared" si="6"/>
        <v>Feb</v>
      </c>
      <c r="J242" s="1">
        <f t="shared" si="7"/>
        <v>5000</v>
      </c>
      <c r="K242" s="1" t="str">
        <f>_xlfn.XLOOKUP(C242,Customers!A:A,Customers!B:B,"MISSING")</f>
        <v>Tanya Sethi</v>
      </c>
      <c r="L242" s="1" t="str">
        <f>_xlfn.XLOOKUP(D242,Products!A:A,Products!B:B,"MISSING")</f>
        <v>Jeans</v>
      </c>
    </row>
    <row r="243" spans="1:12">
      <c r="A243" s="1">
        <v>1242</v>
      </c>
      <c r="B243" s="1" t="s">
        <v>340</v>
      </c>
      <c r="C243" s="1" t="s">
        <v>58</v>
      </c>
      <c r="D243" s="1" t="s">
        <v>151</v>
      </c>
      <c r="E243" s="1">
        <v>1</v>
      </c>
      <c r="F243" s="1" t="str">
        <f>_xlfn.XLOOKUP(C243,Customers!A:A,Customers!C:C,"MISSING")</f>
        <v>Bangalore</v>
      </c>
      <c r="G243" s="1" t="str">
        <f>_xlfn.XLOOKUP(D243,Products!A:A,Products!C:C,"MISSING")</f>
        <v>Clothing</v>
      </c>
      <c r="H243" s="1">
        <f>_xlfn.XLOOKUP(D243,Products!A:A,Products!D:D,"MISSING")</f>
        <v>1500</v>
      </c>
      <c r="I243" s="1" t="str">
        <f t="shared" si="6"/>
        <v>Dec</v>
      </c>
      <c r="J243" s="1">
        <f t="shared" si="7"/>
        <v>1500</v>
      </c>
      <c r="K243" s="1" t="str">
        <f>_xlfn.XLOOKUP(C243,Customers!A:A,Customers!B:B,"MISSING")</f>
        <v>Rohit Sen</v>
      </c>
      <c r="L243" s="1" t="str">
        <f>_xlfn.XLOOKUP(D243,Products!A:A,Products!B:B,"MISSING")</f>
        <v>T-Shirt</v>
      </c>
    </row>
    <row r="244" spans="1:12">
      <c r="A244" s="1">
        <v>1243</v>
      </c>
      <c r="B244" s="1" t="s">
        <v>211</v>
      </c>
      <c r="C244" s="1" t="s">
        <v>85</v>
      </c>
      <c r="D244" s="1" t="s">
        <v>158</v>
      </c>
      <c r="E244" s="1">
        <v>1</v>
      </c>
      <c r="F244" s="1" t="str">
        <f>_xlfn.XLOOKUP(C244,Customers!A:A,Customers!C:C,"MISSING")</f>
        <v>Delhi</v>
      </c>
      <c r="G244" s="1" t="str">
        <f>_xlfn.XLOOKUP(D244,Products!A:A,Products!C:C,"MISSING")</f>
        <v>Clothing</v>
      </c>
      <c r="H244" s="1">
        <f>_xlfn.XLOOKUP(D244,Products!A:A,Products!D:D,"MISSING")</f>
        <v>3500</v>
      </c>
      <c r="I244" s="1" t="str">
        <f t="shared" si="6"/>
        <v>Jul</v>
      </c>
      <c r="J244" s="1">
        <f t="shared" si="7"/>
        <v>3500</v>
      </c>
      <c r="K244" s="1" t="str">
        <f>_xlfn.XLOOKUP(C244,Customers!A:A,Customers!B:B,"MISSING")</f>
        <v>Manav Arora</v>
      </c>
      <c r="L244" s="1" t="str">
        <f>_xlfn.XLOOKUP(D244,Products!A:A,Products!B:B,"MISSING")</f>
        <v>Shoes</v>
      </c>
    </row>
    <row r="245" spans="1:12">
      <c r="A245" s="1">
        <v>1244</v>
      </c>
      <c r="B245" s="1" t="s">
        <v>277</v>
      </c>
      <c r="C245" s="1" t="s">
        <v>63</v>
      </c>
      <c r="D245" s="1" t="s">
        <v>158</v>
      </c>
      <c r="E245" s="1">
        <v>5</v>
      </c>
      <c r="F245" s="1" t="str">
        <f>_xlfn.XLOOKUP(C245,Customers!A:A,Customers!C:C,"MISSING")</f>
        <v>Delhi</v>
      </c>
      <c r="G245" s="1" t="str">
        <f>_xlfn.XLOOKUP(D245,Products!A:A,Products!C:C,"MISSING")</f>
        <v>Clothing</v>
      </c>
      <c r="H245" s="1">
        <f>_xlfn.XLOOKUP(D245,Products!A:A,Products!D:D,"MISSING")</f>
        <v>3500</v>
      </c>
      <c r="I245" s="1" t="str">
        <f t="shared" si="6"/>
        <v>Jul</v>
      </c>
      <c r="J245" s="1">
        <f t="shared" si="7"/>
        <v>17500</v>
      </c>
      <c r="K245" s="1" t="str">
        <f>_xlfn.XLOOKUP(C245,Customers!A:A,Customers!B:B,"MISSING")</f>
        <v>Vikas Nair</v>
      </c>
      <c r="L245" s="1" t="str">
        <f>_xlfn.XLOOKUP(D245,Products!A:A,Products!B:B,"MISSING")</f>
        <v>Shoes</v>
      </c>
    </row>
    <row r="246" spans="1:12">
      <c r="A246" s="1">
        <v>1245</v>
      </c>
      <c r="B246" s="1" t="s">
        <v>341</v>
      </c>
      <c r="C246" s="1" t="s">
        <v>76</v>
      </c>
      <c r="D246" s="1" t="s">
        <v>140</v>
      </c>
      <c r="E246" s="1">
        <v>2</v>
      </c>
      <c r="F246" s="1" t="str">
        <f>_xlfn.XLOOKUP(C246,Customers!A:A,Customers!C:C,"MISSING")</f>
        <v>Ahmedabad</v>
      </c>
      <c r="G246" s="1" t="str">
        <f>_xlfn.XLOOKUP(D246,Products!A:A,Products!C:C,"MISSING")</f>
        <v>Electronics</v>
      </c>
      <c r="H246" s="1">
        <f>_xlfn.XLOOKUP(D246,Products!A:A,Products!D:D,"MISSING")</f>
        <v>20000</v>
      </c>
      <c r="I246" s="1" t="str">
        <f t="shared" si="6"/>
        <v>Jul</v>
      </c>
      <c r="J246" s="1">
        <f t="shared" si="7"/>
        <v>40000</v>
      </c>
      <c r="K246" s="1" t="str">
        <f>_xlfn.XLOOKUP(C246,Customers!A:A,Customers!B:B,"MISSING")</f>
        <v>Riya Das</v>
      </c>
      <c r="L246" s="1" t="str">
        <f>_xlfn.XLOOKUP(D246,Products!A:A,Products!B:B,"MISSING")</f>
        <v>Mobile</v>
      </c>
    </row>
    <row r="247" spans="1:12">
      <c r="A247" s="1">
        <v>1246</v>
      </c>
      <c r="B247" s="1" t="s">
        <v>342</v>
      </c>
      <c r="C247" s="1" t="s">
        <v>14</v>
      </c>
      <c r="D247" s="1" t="s">
        <v>147</v>
      </c>
      <c r="E247" s="1">
        <v>5</v>
      </c>
      <c r="F247" s="1" t="str">
        <f>_xlfn.XLOOKUP(C247,Customers!A:A,Customers!C:C,"MISSING")</f>
        <v>Pune</v>
      </c>
      <c r="G247" s="1" t="str">
        <f>_xlfn.XLOOKUP(D247,Products!A:A,Products!C:C,"MISSING")</f>
        <v>Furniture</v>
      </c>
      <c r="H247" s="1">
        <f>_xlfn.XLOOKUP(D247,Products!A:A,Products!D:D,"MISSING")</f>
        <v>7000</v>
      </c>
      <c r="I247" s="1" t="str">
        <f t="shared" si="6"/>
        <v>Dec</v>
      </c>
      <c r="J247" s="1">
        <f t="shared" si="7"/>
        <v>35000</v>
      </c>
      <c r="K247" s="1" t="str">
        <f>_xlfn.XLOOKUP(C247,Customers!A:A,Customers!B:B,"MISSING")</f>
        <v>Pooja Jain</v>
      </c>
      <c r="L247" s="1" t="str">
        <f>_xlfn.XLOOKUP(D247,Products!A:A,Products!B:B,"MISSING")</f>
        <v>Table</v>
      </c>
    </row>
    <row r="248" spans="1:12">
      <c r="A248" s="1">
        <v>1247</v>
      </c>
      <c r="B248" s="1" t="s">
        <v>292</v>
      </c>
      <c r="C248" s="1" t="s">
        <v>44</v>
      </c>
      <c r="D248" s="1" t="s">
        <v>151</v>
      </c>
      <c r="E248" s="1">
        <v>3</v>
      </c>
      <c r="F248" s="1" t="str">
        <f>_xlfn.XLOOKUP(C248,Customers!A:A,Customers!C:C,"MISSING")</f>
        <v>Lucknow</v>
      </c>
      <c r="G248" s="1" t="str">
        <f>_xlfn.XLOOKUP(D248,Products!A:A,Products!C:C,"MISSING")</f>
        <v>Clothing</v>
      </c>
      <c r="H248" s="1">
        <f>_xlfn.XLOOKUP(D248,Products!A:A,Products!D:D,"MISSING")</f>
        <v>1500</v>
      </c>
      <c r="I248" s="1" t="str">
        <f t="shared" si="6"/>
        <v>Oct</v>
      </c>
      <c r="J248" s="1">
        <f t="shared" si="7"/>
        <v>4500</v>
      </c>
      <c r="K248" s="1" t="str">
        <f>_xlfn.XLOOKUP(C248,Customers!A:A,Customers!B:B,"MISSING")</f>
        <v>Nitin Joshi</v>
      </c>
      <c r="L248" s="1" t="str">
        <f>_xlfn.XLOOKUP(D248,Products!A:A,Products!B:B,"MISSING")</f>
        <v>T-Shirt</v>
      </c>
    </row>
    <row r="249" spans="1:12">
      <c r="A249" s="1">
        <v>1248</v>
      </c>
      <c r="B249" s="1" t="s">
        <v>343</v>
      </c>
      <c r="C249" s="1" t="s">
        <v>81</v>
      </c>
      <c r="D249" s="1" t="s">
        <v>142</v>
      </c>
      <c r="E249" s="1">
        <v>2</v>
      </c>
      <c r="F249" s="1" t="str">
        <f>_xlfn.XLOOKUP(C249,Customers!A:A,Customers!C:C,"MISSING")</f>
        <v>Mumbai</v>
      </c>
      <c r="G249" s="1" t="str">
        <f>_xlfn.XLOOKUP(D249,Products!A:A,Products!C:C,"MISSING")</f>
        <v>Electronics</v>
      </c>
      <c r="H249" s="1">
        <f>_xlfn.XLOOKUP(D249,Products!A:A,Products!D:D,"MISSING")</f>
        <v>15000</v>
      </c>
      <c r="I249" s="1" t="str">
        <f t="shared" si="6"/>
        <v>Oct</v>
      </c>
      <c r="J249" s="1">
        <f t="shared" si="7"/>
        <v>30000</v>
      </c>
      <c r="K249" s="1" t="str">
        <f>_xlfn.XLOOKUP(C249,Customers!A:A,Customers!B:B,"MISSING")</f>
        <v>Arjun Malhotra</v>
      </c>
      <c r="L249" s="1" t="str">
        <f>_xlfn.XLOOKUP(D249,Products!A:A,Products!B:B,"MISSING")</f>
        <v>Tablet</v>
      </c>
    </row>
    <row r="250" spans="1:12">
      <c r="A250" s="1">
        <v>1249</v>
      </c>
      <c r="B250" s="1" t="s">
        <v>253</v>
      </c>
      <c r="C250" s="1" t="s">
        <v>55</v>
      </c>
      <c r="D250" s="1" t="s">
        <v>137</v>
      </c>
      <c r="E250" s="1">
        <v>2</v>
      </c>
      <c r="F250" s="1" t="str">
        <f>_xlfn.XLOOKUP(C250,Customers!A:A,Customers!C:C,"MISSING")</f>
        <v>Jaipur</v>
      </c>
      <c r="G250" s="1" t="str">
        <f>_xlfn.XLOOKUP(D250,Products!A:A,Products!C:C,"MISSING")</f>
        <v>Electronics</v>
      </c>
      <c r="H250" s="1">
        <f>_xlfn.XLOOKUP(D250,Products!A:A,Products!D:D,"MISSING")</f>
        <v>50000</v>
      </c>
      <c r="I250" s="1" t="str">
        <f t="shared" si="6"/>
        <v>Jan</v>
      </c>
      <c r="J250" s="1">
        <f t="shared" si="7"/>
        <v>100000</v>
      </c>
      <c r="K250" s="1" t="str">
        <f>_xlfn.XLOOKUP(C250,Customers!A:A,Customers!B:B,"MISSING")</f>
        <v>Neha Singh</v>
      </c>
      <c r="L250" s="1" t="str">
        <f>_xlfn.XLOOKUP(D250,Products!A:A,Products!B:B,"MISSING")</f>
        <v>Laptop</v>
      </c>
    </row>
    <row r="251" spans="1:12">
      <c r="A251" s="1">
        <v>1250</v>
      </c>
      <c r="B251" s="1" t="s">
        <v>316</v>
      </c>
      <c r="C251" s="1" t="s">
        <v>132</v>
      </c>
      <c r="D251" s="1" t="s">
        <v>144</v>
      </c>
      <c r="E251" s="1">
        <v>2</v>
      </c>
      <c r="F251" s="1" t="str">
        <f>_xlfn.XLOOKUP(C251,Customers!A:A,Customers!C:C,"MISSING")</f>
        <v>Jaipur</v>
      </c>
      <c r="G251" s="1" t="str">
        <f>_xlfn.XLOOKUP(D251,Products!A:A,Products!C:C,"MISSING")</f>
        <v>Furniture</v>
      </c>
      <c r="H251" s="1">
        <f>_xlfn.XLOOKUP(D251,Products!A:A,Products!D:D,"MISSING")</f>
        <v>3000</v>
      </c>
      <c r="I251" s="1" t="str">
        <f t="shared" si="6"/>
        <v>Oct</v>
      </c>
      <c r="J251" s="1">
        <f t="shared" si="7"/>
        <v>6000</v>
      </c>
      <c r="K251" s="1" t="str">
        <f>_xlfn.XLOOKUP(C251,Customers!A:A,Customers!B:B,"MISSING")</f>
        <v>Ravi Patel</v>
      </c>
      <c r="L251" s="1" t="str">
        <f>_xlfn.XLOOKUP(D251,Products!A:A,Products!B:B,"MISSING")</f>
        <v>Chair</v>
      </c>
    </row>
    <row r="252" spans="1:12">
      <c r="A252" s="1">
        <v>1251</v>
      </c>
      <c r="B252" s="1" t="s">
        <v>318</v>
      </c>
      <c r="C252" s="1" t="s">
        <v>109</v>
      </c>
      <c r="D252" s="1" t="s">
        <v>142</v>
      </c>
      <c r="E252" s="1">
        <v>3</v>
      </c>
      <c r="F252" s="1" t="str">
        <f>_xlfn.XLOOKUP(C252,Customers!A:A,Customers!C:C,"MISSING")</f>
        <v>Mumbai</v>
      </c>
      <c r="G252" s="1" t="str">
        <f>_xlfn.XLOOKUP(D252,Products!A:A,Products!C:C,"MISSING")</f>
        <v>Electronics</v>
      </c>
      <c r="H252" s="1">
        <f>_xlfn.XLOOKUP(D252,Products!A:A,Products!D:D,"MISSING")</f>
        <v>15000</v>
      </c>
      <c r="I252" s="1" t="str">
        <f t="shared" si="6"/>
        <v>Feb</v>
      </c>
      <c r="J252" s="1">
        <f t="shared" si="7"/>
        <v>45000</v>
      </c>
      <c r="K252" s="1" t="str">
        <f>_xlfn.XLOOKUP(C252,Customers!A:A,Customers!B:B,"MISSING")</f>
        <v>Nitin Joshi</v>
      </c>
      <c r="L252" s="1" t="str">
        <f>_xlfn.XLOOKUP(D252,Products!A:A,Products!B:B,"MISSING")</f>
        <v>Tablet</v>
      </c>
    </row>
    <row r="253" spans="1:12">
      <c r="A253" s="1">
        <v>1252</v>
      </c>
      <c r="B253" s="1" t="s">
        <v>305</v>
      </c>
      <c r="C253" s="1" t="s">
        <v>68</v>
      </c>
      <c r="D253" s="1" t="s">
        <v>147</v>
      </c>
      <c r="E253" s="1">
        <v>4</v>
      </c>
      <c r="F253" s="1" t="str">
        <f>_xlfn.XLOOKUP(C253,Customers!A:A,Customers!C:C,"MISSING")</f>
        <v>Pune</v>
      </c>
      <c r="G253" s="1" t="str">
        <f>_xlfn.XLOOKUP(D253,Products!A:A,Products!C:C,"MISSING")</f>
        <v>Furniture</v>
      </c>
      <c r="H253" s="1">
        <f>_xlfn.XLOOKUP(D253,Products!A:A,Products!D:D,"MISSING")</f>
        <v>7000</v>
      </c>
      <c r="I253" s="1" t="str">
        <f t="shared" si="6"/>
        <v>Feb</v>
      </c>
      <c r="J253" s="1">
        <f t="shared" si="7"/>
        <v>28000</v>
      </c>
      <c r="K253" s="1" t="str">
        <f>_xlfn.XLOOKUP(C253,Customers!A:A,Customers!B:B,"MISSING")</f>
        <v>Arjun Malhotra</v>
      </c>
      <c r="L253" s="1" t="str">
        <f>_xlfn.XLOOKUP(D253,Products!A:A,Products!B:B,"MISSING")</f>
        <v>Table</v>
      </c>
    </row>
    <row r="254" spans="1:12">
      <c r="A254" s="1">
        <v>1253</v>
      </c>
      <c r="B254" s="1" t="s">
        <v>344</v>
      </c>
      <c r="C254" s="1" t="s">
        <v>44</v>
      </c>
      <c r="D254" s="1" t="s">
        <v>137</v>
      </c>
      <c r="E254" s="1">
        <v>5</v>
      </c>
      <c r="F254" s="1" t="str">
        <f>_xlfn.XLOOKUP(C254,Customers!A:A,Customers!C:C,"MISSING")</f>
        <v>Lucknow</v>
      </c>
      <c r="G254" s="1" t="str">
        <f>_xlfn.XLOOKUP(D254,Products!A:A,Products!C:C,"MISSING")</f>
        <v>Electronics</v>
      </c>
      <c r="H254" s="1">
        <f>_xlfn.XLOOKUP(D254,Products!A:A,Products!D:D,"MISSING")</f>
        <v>50000</v>
      </c>
      <c r="I254" s="1" t="str">
        <f t="shared" si="6"/>
        <v>Feb</v>
      </c>
      <c r="J254" s="1">
        <f t="shared" si="7"/>
        <v>250000</v>
      </c>
      <c r="K254" s="1" t="str">
        <f>_xlfn.XLOOKUP(C254,Customers!A:A,Customers!B:B,"MISSING")</f>
        <v>Nitin Joshi</v>
      </c>
      <c r="L254" s="1" t="str">
        <f>_xlfn.XLOOKUP(D254,Products!A:A,Products!B:B,"MISSING")</f>
        <v>Laptop</v>
      </c>
    </row>
    <row r="255" spans="1:12">
      <c r="A255" s="1">
        <v>1254</v>
      </c>
      <c r="B255" s="1" t="s">
        <v>345</v>
      </c>
      <c r="C255" s="1" t="s">
        <v>122</v>
      </c>
      <c r="D255" s="1" t="s">
        <v>147</v>
      </c>
      <c r="E255" s="1">
        <v>1</v>
      </c>
      <c r="F255" s="1" t="str">
        <f>_xlfn.XLOOKUP(C255,Customers!A:A,Customers!C:C,"MISSING")</f>
        <v>Delhi</v>
      </c>
      <c r="G255" s="1" t="str">
        <f>_xlfn.XLOOKUP(D255,Products!A:A,Products!C:C,"MISSING")</f>
        <v>Furniture</v>
      </c>
      <c r="H255" s="1">
        <f>_xlfn.XLOOKUP(D255,Products!A:A,Products!D:D,"MISSING")</f>
        <v>7000</v>
      </c>
      <c r="I255" s="1" t="str">
        <f t="shared" si="6"/>
        <v>Jun</v>
      </c>
      <c r="J255" s="1">
        <f t="shared" si="7"/>
        <v>7000</v>
      </c>
      <c r="K255" s="1" t="str">
        <f>_xlfn.XLOOKUP(C255,Customers!A:A,Customers!B:B,"MISSING")</f>
        <v>Rohit Sen</v>
      </c>
      <c r="L255" s="1" t="str">
        <f>_xlfn.XLOOKUP(D255,Products!A:A,Products!B:B,"MISSING")</f>
        <v>Table</v>
      </c>
    </row>
    <row r="256" spans="1:12">
      <c r="A256" s="1">
        <v>1255</v>
      </c>
      <c r="B256" s="1" t="s">
        <v>211</v>
      </c>
      <c r="C256" s="1" t="s">
        <v>62</v>
      </c>
      <c r="D256" s="1" t="s">
        <v>137</v>
      </c>
      <c r="E256" s="1">
        <v>4</v>
      </c>
      <c r="F256" s="1" t="str">
        <f>_xlfn.XLOOKUP(C256,Customers!A:A,Customers!C:C,"MISSING")</f>
        <v>Delhi</v>
      </c>
      <c r="G256" s="1" t="str">
        <f>_xlfn.XLOOKUP(D256,Products!A:A,Products!C:C,"MISSING")</f>
        <v>Electronics</v>
      </c>
      <c r="H256" s="1">
        <f>_xlfn.XLOOKUP(D256,Products!A:A,Products!D:D,"MISSING")</f>
        <v>50000</v>
      </c>
      <c r="I256" s="1" t="str">
        <f t="shared" si="6"/>
        <v>Jul</v>
      </c>
      <c r="J256" s="1">
        <f t="shared" si="7"/>
        <v>200000</v>
      </c>
      <c r="K256" s="1" t="str">
        <f>_xlfn.XLOOKUP(C256,Customers!A:A,Customers!B:B,"MISSING")</f>
        <v>Ravi Patel</v>
      </c>
      <c r="L256" s="1" t="str">
        <f>_xlfn.XLOOKUP(D256,Products!A:A,Products!B:B,"MISSING")</f>
        <v>Laptop</v>
      </c>
    </row>
    <row r="257" spans="1:12">
      <c r="A257" s="1">
        <v>1256</v>
      </c>
      <c r="B257" s="1" t="s">
        <v>346</v>
      </c>
      <c r="C257" s="1" t="s">
        <v>56</v>
      </c>
      <c r="D257" s="1" t="s">
        <v>151</v>
      </c>
      <c r="E257" s="1">
        <v>1</v>
      </c>
      <c r="F257" s="1" t="str">
        <f>_xlfn.XLOOKUP(C257,Customers!A:A,Customers!C:C,"MISSING")</f>
        <v>Bangalore</v>
      </c>
      <c r="G257" s="1" t="str">
        <f>_xlfn.XLOOKUP(D257,Products!A:A,Products!C:C,"MISSING")</f>
        <v>Clothing</v>
      </c>
      <c r="H257" s="1">
        <f>_xlfn.XLOOKUP(D257,Products!A:A,Products!D:D,"MISSING")</f>
        <v>1500</v>
      </c>
      <c r="I257" s="1" t="str">
        <f t="shared" si="6"/>
        <v>Feb</v>
      </c>
      <c r="J257" s="1">
        <f t="shared" si="7"/>
        <v>1500</v>
      </c>
      <c r="K257" s="1" t="str">
        <f>_xlfn.XLOOKUP(C257,Customers!A:A,Customers!B:B,"MISSING")</f>
        <v>Karan Mehta</v>
      </c>
      <c r="L257" s="1" t="str">
        <f>_xlfn.XLOOKUP(D257,Products!A:A,Products!B:B,"MISSING")</f>
        <v>T-Shirt</v>
      </c>
    </row>
    <row r="258" spans="1:12">
      <c r="A258" s="1">
        <v>1257</v>
      </c>
      <c r="B258" s="1" t="s">
        <v>347</v>
      </c>
      <c r="C258" s="1" t="s">
        <v>6</v>
      </c>
      <c r="D258" s="1" t="s">
        <v>154</v>
      </c>
      <c r="E258" s="1">
        <v>3</v>
      </c>
      <c r="F258" s="1" t="str">
        <f>_xlfn.XLOOKUP(C258,Customers!A:A,Customers!C:C,"MISSING")</f>
        <v>Pune</v>
      </c>
      <c r="G258" s="1" t="str">
        <f>_xlfn.XLOOKUP(D258,Products!A:A,Products!C:C,"MISSING")</f>
        <v>Clothing</v>
      </c>
      <c r="H258" s="1">
        <f>_xlfn.XLOOKUP(D258,Products!A:A,Products!D:D,"MISSING")</f>
        <v>2500</v>
      </c>
      <c r="I258" s="1" t="str">
        <f t="shared" si="6"/>
        <v>Sep</v>
      </c>
      <c r="J258" s="1">
        <f t="shared" si="7"/>
        <v>7500</v>
      </c>
      <c r="K258" s="1" t="str">
        <f>_xlfn.XLOOKUP(C258,Customers!A:A,Customers!B:B,"MISSING")</f>
        <v>Priya Kapoor</v>
      </c>
      <c r="L258" s="1" t="str">
        <f>_xlfn.XLOOKUP(D258,Products!A:A,Products!B:B,"MISSING")</f>
        <v>Jeans</v>
      </c>
    </row>
    <row r="259" spans="1:12">
      <c r="A259" s="1">
        <v>1258</v>
      </c>
      <c r="B259" s="1" t="s">
        <v>348</v>
      </c>
      <c r="C259" s="1" t="s">
        <v>126</v>
      </c>
      <c r="D259" s="1" t="s">
        <v>147</v>
      </c>
      <c r="E259" s="1">
        <v>3</v>
      </c>
      <c r="F259" s="1" t="str">
        <f>_xlfn.XLOOKUP(C259,Customers!A:A,Customers!C:C,"MISSING")</f>
        <v>Mumbai</v>
      </c>
      <c r="G259" s="1" t="str">
        <f>_xlfn.XLOOKUP(D259,Products!A:A,Products!C:C,"MISSING")</f>
        <v>Furniture</v>
      </c>
      <c r="H259" s="1">
        <f>_xlfn.XLOOKUP(D259,Products!A:A,Products!D:D,"MISSING")</f>
        <v>7000</v>
      </c>
      <c r="I259" s="1" t="str">
        <f t="shared" ref="I259:I322" si="8">TEXT(B259,"mmm")</f>
        <v>Oct</v>
      </c>
      <c r="J259" s="1">
        <f t="shared" ref="J259:J322" si="9">E259*H259</f>
        <v>21000</v>
      </c>
      <c r="K259" s="1" t="str">
        <f>_xlfn.XLOOKUP(C259,Customers!A:A,Customers!B:B,"MISSING")</f>
        <v>Sejal Shah</v>
      </c>
      <c r="L259" s="1" t="str">
        <f>_xlfn.XLOOKUP(D259,Products!A:A,Products!B:B,"MISSING")</f>
        <v>Table</v>
      </c>
    </row>
    <row r="260" spans="1:12">
      <c r="A260" s="1">
        <v>1259</v>
      </c>
      <c r="B260" s="1" t="s">
        <v>349</v>
      </c>
      <c r="C260" s="1" t="s">
        <v>123</v>
      </c>
      <c r="D260" s="1" t="s">
        <v>144</v>
      </c>
      <c r="E260" s="1">
        <v>4</v>
      </c>
      <c r="F260" s="1" t="str">
        <f>_xlfn.XLOOKUP(C260,Customers!A:A,Customers!C:C,"MISSING")</f>
        <v>Bangalore</v>
      </c>
      <c r="G260" s="1" t="str">
        <f>_xlfn.XLOOKUP(D260,Products!A:A,Products!C:C,"MISSING")</f>
        <v>Furniture</v>
      </c>
      <c r="H260" s="1">
        <f>_xlfn.XLOOKUP(D260,Products!A:A,Products!D:D,"MISSING")</f>
        <v>3000</v>
      </c>
      <c r="I260" s="1" t="str">
        <f t="shared" si="8"/>
        <v>Feb</v>
      </c>
      <c r="J260" s="1">
        <f t="shared" si="9"/>
        <v>12000</v>
      </c>
      <c r="K260" s="1" t="str">
        <f>_xlfn.XLOOKUP(C260,Customers!A:A,Customers!B:B,"MISSING")</f>
        <v>Karan Mehta</v>
      </c>
      <c r="L260" s="1" t="str">
        <f>_xlfn.XLOOKUP(D260,Products!A:A,Products!B:B,"MISSING")</f>
        <v>Chair</v>
      </c>
    </row>
    <row r="261" spans="1:12">
      <c r="A261" s="1">
        <v>1260</v>
      </c>
      <c r="B261" s="1" t="s">
        <v>350</v>
      </c>
      <c r="C261" s="1" t="s">
        <v>85</v>
      </c>
      <c r="D261" s="1" t="s">
        <v>151</v>
      </c>
      <c r="E261" s="1">
        <v>1</v>
      </c>
      <c r="F261" s="1" t="str">
        <f>_xlfn.XLOOKUP(C261,Customers!A:A,Customers!C:C,"MISSING")</f>
        <v>Delhi</v>
      </c>
      <c r="G261" s="1" t="str">
        <f>_xlfn.XLOOKUP(D261,Products!A:A,Products!C:C,"MISSING")</f>
        <v>Clothing</v>
      </c>
      <c r="H261" s="1">
        <f>_xlfn.XLOOKUP(D261,Products!A:A,Products!D:D,"MISSING")</f>
        <v>1500</v>
      </c>
      <c r="I261" s="1" t="str">
        <f t="shared" si="8"/>
        <v>Feb</v>
      </c>
      <c r="J261" s="1">
        <f t="shared" si="9"/>
        <v>1500</v>
      </c>
      <c r="K261" s="1" t="str">
        <f>_xlfn.XLOOKUP(C261,Customers!A:A,Customers!B:B,"MISSING")</f>
        <v>Manav Arora</v>
      </c>
      <c r="L261" s="1" t="str">
        <f>_xlfn.XLOOKUP(D261,Products!A:A,Products!B:B,"MISSING")</f>
        <v>T-Shirt</v>
      </c>
    </row>
    <row r="262" spans="1:12">
      <c r="A262" s="1">
        <v>1261</v>
      </c>
      <c r="B262" s="1" t="s">
        <v>351</v>
      </c>
      <c r="C262" s="1" t="s">
        <v>93</v>
      </c>
      <c r="D262" s="1" t="s">
        <v>147</v>
      </c>
      <c r="E262" s="1">
        <v>1</v>
      </c>
      <c r="F262" s="1" t="str">
        <f>_xlfn.XLOOKUP(C262,Customers!A:A,Customers!C:C,"MISSING")</f>
        <v>Lucknow</v>
      </c>
      <c r="G262" s="1" t="str">
        <f>_xlfn.XLOOKUP(D262,Products!A:A,Products!C:C,"MISSING")</f>
        <v>Furniture</v>
      </c>
      <c r="H262" s="1">
        <f>_xlfn.XLOOKUP(D262,Products!A:A,Products!D:D,"MISSING")</f>
        <v>7000</v>
      </c>
      <c r="I262" s="1" t="str">
        <f t="shared" si="8"/>
        <v>Jun</v>
      </c>
      <c r="J262" s="1">
        <f t="shared" si="9"/>
        <v>7000</v>
      </c>
      <c r="K262" s="1" t="str">
        <f>_xlfn.XLOOKUP(C262,Customers!A:A,Customers!B:B,"MISSING")</f>
        <v>Ankit Roy</v>
      </c>
      <c r="L262" s="1" t="str">
        <f>_xlfn.XLOOKUP(D262,Products!A:A,Products!B:B,"MISSING")</f>
        <v>Table</v>
      </c>
    </row>
    <row r="263" spans="1:12">
      <c r="A263" s="1">
        <v>1262</v>
      </c>
      <c r="B263" s="1" t="s">
        <v>352</v>
      </c>
      <c r="C263" s="1" t="s">
        <v>54</v>
      </c>
      <c r="D263" s="1" t="s">
        <v>144</v>
      </c>
      <c r="E263" s="1">
        <v>4</v>
      </c>
      <c r="F263" s="1" t="str">
        <f>_xlfn.XLOOKUP(C263,Customers!A:A,Customers!C:C,"MISSING")</f>
        <v>Chennai</v>
      </c>
      <c r="G263" s="1" t="str">
        <f>_xlfn.XLOOKUP(D263,Products!A:A,Products!C:C,"MISSING")</f>
        <v>Furniture</v>
      </c>
      <c r="H263" s="1">
        <f>_xlfn.XLOOKUP(D263,Products!A:A,Products!D:D,"MISSING")</f>
        <v>3000</v>
      </c>
      <c r="I263" s="1" t="str">
        <f t="shared" si="8"/>
        <v>Feb</v>
      </c>
      <c r="J263" s="1">
        <f t="shared" si="9"/>
        <v>12000</v>
      </c>
      <c r="K263" s="1" t="str">
        <f>_xlfn.XLOOKUP(C263,Customers!A:A,Customers!B:B,"MISSING")</f>
        <v>Ravi Patel</v>
      </c>
      <c r="L263" s="1" t="str">
        <f>_xlfn.XLOOKUP(D263,Products!A:A,Products!B:B,"MISSING")</f>
        <v>Chair</v>
      </c>
    </row>
    <row r="264" spans="1:12">
      <c r="A264" s="1">
        <v>1263</v>
      </c>
      <c r="B264" s="1" t="s">
        <v>353</v>
      </c>
      <c r="C264" s="1" t="s">
        <v>95</v>
      </c>
      <c r="D264" s="1" t="s">
        <v>147</v>
      </c>
      <c r="E264" s="1">
        <v>2</v>
      </c>
      <c r="F264" s="1" t="str">
        <f>_xlfn.XLOOKUP(C264,Customers!A:A,Customers!C:C,"MISSING")</f>
        <v>Hyderabad</v>
      </c>
      <c r="G264" s="1" t="str">
        <f>_xlfn.XLOOKUP(D264,Products!A:A,Products!C:C,"MISSING")</f>
        <v>Furniture</v>
      </c>
      <c r="H264" s="1">
        <f>_xlfn.XLOOKUP(D264,Products!A:A,Products!D:D,"MISSING")</f>
        <v>7000</v>
      </c>
      <c r="I264" s="1" t="str">
        <f t="shared" si="8"/>
        <v>Dec</v>
      </c>
      <c r="J264" s="1">
        <f t="shared" si="9"/>
        <v>14000</v>
      </c>
      <c r="K264" s="1" t="str">
        <f>_xlfn.XLOOKUP(C264,Customers!A:A,Customers!B:B,"MISSING")</f>
        <v>Arjun Malhotra</v>
      </c>
      <c r="L264" s="1" t="str">
        <f>_xlfn.XLOOKUP(D264,Products!A:A,Products!B:B,"MISSING")</f>
        <v>Table</v>
      </c>
    </row>
    <row r="265" spans="1:12">
      <c r="A265" s="1">
        <v>1264</v>
      </c>
      <c r="B265" s="1" t="s">
        <v>330</v>
      </c>
      <c r="C265" s="1" t="s">
        <v>40</v>
      </c>
      <c r="D265" s="1" t="s">
        <v>151</v>
      </c>
      <c r="E265" s="1">
        <v>1</v>
      </c>
      <c r="F265" s="1" t="str">
        <f>_xlfn.XLOOKUP(C265,Customers!A:A,Customers!C:C,"MISSING")</f>
        <v>Ahmedabad</v>
      </c>
      <c r="G265" s="1" t="str">
        <f>_xlfn.XLOOKUP(D265,Products!A:A,Products!C:C,"MISSING")</f>
        <v>Clothing</v>
      </c>
      <c r="H265" s="1">
        <f>_xlfn.XLOOKUP(D265,Products!A:A,Products!D:D,"MISSING")</f>
        <v>1500</v>
      </c>
      <c r="I265" s="1" t="str">
        <f t="shared" si="8"/>
        <v>Jun</v>
      </c>
      <c r="J265" s="1">
        <f t="shared" si="9"/>
        <v>1500</v>
      </c>
      <c r="K265" s="1" t="str">
        <f>_xlfn.XLOOKUP(C265,Customers!A:A,Customers!B:B,"MISSING")</f>
        <v>Neha Singh</v>
      </c>
      <c r="L265" s="1" t="str">
        <f>_xlfn.XLOOKUP(D265,Products!A:A,Products!B:B,"MISSING")</f>
        <v>T-Shirt</v>
      </c>
    </row>
    <row r="266" spans="1:12">
      <c r="A266" s="1">
        <v>1265</v>
      </c>
      <c r="B266" s="1" t="s">
        <v>294</v>
      </c>
      <c r="C266" s="1" t="s">
        <v>107</v>
      </c>
      <c r="D266" s="1" t="s">
        <v>151</v>
      </c>
      <c r="E266" s="1">
        <v>1</v>
      </c>
      <c r="F266" s="1" t="str">
        <f>_xlfn.XLOOKUP(C266,Customers!A:A,Customers!C:C,"MISSING")</f>
        <v>Lucknow</v>
      </c>
      <c r="G266" s="1" t="str">
        <f>_xlfn.XLOOKUP(D266,Products!A:A,Products!C:C,"MISSING")</f>
        <v>Clothing</v>
      </c>
      <c r="H266" s="1">
        <f>_xlfn.XLOOKUP(D266,Products!A:A,Products!D:D,"MISSING")</f>
        <v>1500</v>
      </c>
      <c r="I266" s="1" t="str">
        <f t="shared" si="8"/>
        <v>Jan</v>
      </c>
      <c r="J266" s="1">
        <f t="shared" si="9"/>
        <v>1500</v>
      </c>
      <c r="K266" s="1" t="str">
        <f>_xlfn.XLOOKUP(C266,Customers!A:A,Customers!B:B,"MISSING")</f>
        <v>Priya Kapoor</v>
      </c>
      <c r="L266" s="1" t="str">
        <f>_xlfn.XLOOKUP(D266,Products!A:A,Products!B:B,"MISSING")</f>
        <v>T-Shirt</v>
      </c>
    </row>
    <row r="267" spans="1:12">
      <c r="A267" s="1">
        <v>1266</v>
      </c>
      <c r="B267" s="1" t="s">
        <v>190</v>
      </c>
      <c r="C267" s="1" t="s">
        <v>73</v>
      </c>
      <c r="D267" s="1" t="s">
        <v>154</v>
      </c>
      <c r="E267" s="1">
        <v>5</v>
      </c>
      <c r="F267" s="1" t="str">
        <f>_xlfn.XLOOKUP(C267,Customers!A:A,Customers!C:C,"MISSING")</f>
        <v>Pune</v>
      </c>
      <c r="G267" s="1" t="str">
        <f>_xlfn.XLOOKUP(D267,Products!A:A,Products!C:C,"MISSING")</f>
        <v>Clothing</v>
      </c>
      <c r="H267" s="1">
        <f>_xlfn.XLOOKUP(D267,Products!A:A,Products!D:D,"MISSING")</f>
        <v>2500</v>
      </c>
      <c r="I267" s="1" t="str">
        <f t="shared" si="8"/>
        <v>Jun</v>
      </c>
      <c r="J267" s="1">
        <f t="shared" si="9"/>
        <v>12500</v>
      </c>
      <c r="K267" s="1" t="str">
        <f>_xlfn.XLOOKUP(C267,Customers!A:A,Customers!B:B,"MISSING")</f>
        <v>Rahul Sharma</v>
      </c>
      <c r="L267" s="1" t="str">
        <f>_xlfn.XLOOKUP(D267,Products!A:A,Products!B:B,"MISSING")</f>
        <v>Jeans</v>
      </c>
    </row>
    <row r="268" spans="1:12">
      <c r="A268" s="1">
        <v>1267</v>
      </c>
      <c r="B268" s="1" t="s">
        <v>354</v>
      </c>
      <c r="C268" s="1" t="s">
        <v>16</v>
      </c>
      <c r="D268" s="1" t="s">
        <v>142</v>
      </c>
      <c r="E268" s="1">
        <v>3</v>
      </c>
      <c r="F268" s="1" t="str">
        <f>_xlfn.XLOOKUP(C268,Customers!A:A,Customers!C:C,"MISSING")</f>
        <v>Hyderabad</v>
      </c>
      <c r="G268" s="1" t="str">
        <f>_xlfn.XLOOKUP(D268,Products!A:A,Products!C:C,"MISSING")</f>
        <v>Electronics</v>
      </c>
      <c r="H268" s="1">
        <f>_xlfn.XLOOKUP(D268,Products!A:A,Products!D:D,"MISSING")</f>
        <v>15000</v>
      </c>
      <c r="I268" s="1" t="str">
        <f t="shared" si="8"/>
        <v>Feb</v>
      </c>
      <c r="J268" s="1">
        <f t="shared" si="9"/>
        <v>45000</v>
      </c>
      <c r="K268" s="1" t="str">
        <f>_xlfn.XLOOKUP(C268,Customers!A:A,Customers!B:B,"MISSING")</f>
        <v>Rahul Sharma</v>
      </c>
      <c r="L268" s="1" t="str">
        <f>_xlfn.XLOOKUP(D268,Products!A:A,Products!B:B,"MISSING")</f>
        <v>Tablet</v>
      </c>
    </row>
    <row r="269" spans="1:12">
      <c r="A269" s="1">
        <v>1268</v>
      </c>
      <c r="B269" s="1" t="s">
        <v>355</v>
      </c>
      <c r="C269" s="1" t="s">
        <v>76</v>
      </c>
      <c r="D269" s="1" t="s">
        <v>142</v>
      </c>
      <c r="E269" s="1">
        <v>3</v>
      </c>
      <c r="F269" s="1" t="str">
        <f>_xlfn.XLOOKUP(C269,Customers!A:A,Customers!C:C,"MISSING")</f>
        <v>Ahmedabad</v>
      </c>
      <c r="G269" s="1" t="str">
        <f>_xlfn.XLOOKUP(D269,Products!A:A,Products!C:C,"MISSING")</f>
        <v>Electronics</v>
      </c>
      <c r="H269" s="1">
        <f>_xlfn.XLOOKUP(D269,Products!A:A,Products!D:D,"MISSING")</f>
        <v>15000</v>
      </c>
      <c r="I269" s="1" t="str">
        <f t="shared" si="8"/>
        <v>Sep</v>
      </c>
      <c r="J269" s="1">
        <f t="shared" si="9"/>
        <v>45000</v>
      </c>
      <c r="K269" s="1" t="str">
        <f>_xlfn.XLOOKUP(C269,Customers!A:A,Customers!B:B,"MISSING")</f>
        <v>Riya Das</v>
      </c>
      <c r="L269" s="1" t="str">
        <f>_xlfn.XLOOKUP(D269,Products!A:A,Products!B:B,"MISSING")</f>
        <v>Tablet</v>
      </c>
    </row>
    <row r="270" spans="1:12">
      <c r="A270" s="1">
        <v>1269</v>
      </c>
      <c r="B270" s="1" t="s">
        <v>285</v>
      </c>
      <c r="C270" s="1" t="s">
        <v>61</v>
      </c>
      <c r="D270" s="1" t="s">
        <v>147</v>
      </c>
      <c r="E270" s="1">
        <v>3</v>
      </c>
      <c r="F270" s="1" t="str">
        <f>_xlfn.XLOOKUP(C270,Customers!A:A,Customers!C:C,"MISSING")</f>
        <v>Delhi</v>
      </c>
      <c r="G270" s="1" t="str">
        <f>_xlfn.XLOOKUP(D270,Products!A:A,Products!C:C,"MISSING")</f>
        <v>Furniture</v>
      </c>
      <c r="H270" s="1">
        <f>_xlfn.XLOOKUP(D270,Products!A:A,Products!D:D,"MISSING")</f>
        <v>7000</v>
      </c>
      <c r="I270" s="1" t="str">
        <f t="shared" si="8"/>
        <v>Aug</v>
      </c>
      <c r="J270" s="1">
        <f t="shared" si="9"/>
        <v>21000</v>
      </c>
      <c r="K270" s="1" t="str">
        <f>_xlfn.XLOOKUP(C270,Customers!A:A,Customers!B:B,"MISSING")</f>
        <v>Rahul Sharma</v>
      </c>
      <c r="L270" s="1" t="str">
        <f>_xlfn.XLOOKUP(D270,Products!A:A,Products!B:B,"MISSING")</f>
        <v>Table</v>
      </c>
    </row>
    <row r="271" spans="1:12">
      <c r="A271" s="1">
        <v>1270</v>
      </c>
      <c r="B271" s="1" t="s">
        <v>222</v>
      </c>
      <c r="C271" s="1" t="s">
        <v>90</v>
      </c>
      <c r="D271" s="1" t="s">
        <v>156</v>
      </c>
      <c r="E271" s="1">
        <v>2</v>
      </c>
      <c r="F271" s="1" t="str">
        <f>_xlfn.XLOOKUP(C271,Customers!A:A,Customers!C:C,"MISSING")</f>
        <v>Mumbai</v>
      </c>
      <c r="G271" s="1" t="str">
        <f>_xlfn.XLOOKUP(D271,Products!A:A,Products!C:C,"MISSING")</f>
        <v>Clothing</v>
      </c>
      <c r="H271" s="1">
        <f>_xlfn.XLOOKUP(D271,Products!A:A,Products!D:D,"MISSING")</f>
        <v>1800</v>
      </c>
      <c r="I271" s="1" t="str">
        <f t="shared" si="8"/>
        <v>Mar</v>
      </c>
      <c r="J271" s="1">
        <f t="shared" si="9"/>
        <v>3600</v>
      </c>
      <c r="K271" s="1" t="str">
        <f>_xlfn.XLOOKUP(C271,Customers!A:A,Customers!B:B,"MISSING")</f>
        <v>Karan Mehta</v>
      </c>
      <c r="L271" s="1" t="str">
        <f>_xlfn.XLOOKUP(D271,Products!A:A,Products!B:B,"MISSING")</f>
        <v>Shirt</v>
      </c>
    </row>
    <row r="272" spans="1:12">
      <c r="A272" s="1">
        <v>1271</v>
      </c>
      <c r="B272" s="1" t="s">
        <v>245</v>
      </c>
      <c r="C272" s="1" t="s">
        <v>108</v>
      </c>
      <c r="D272" s="1" t="s">
        <v>149</v>
      </c>
      <c r="E272" s="1">
        <v>3</v>
      </c>
      <c r="F272" s="1" t="str">
        <f>_xlfn.XLOOKUP(C272,Customers!A:A,Customers!C:C,"MISSING")</f>
        <v>Bangalore</v>
      </c>
      <c r="G272" s="1" t="str">
        <f>_xlfn.XLOOKUP(D272,Products!A:A,Products!C:C,"MISSING")</f>
        <v>Furniture</v>
      </c>
      <c r="H272" s="1">
        <f>_xlfn.XLOOKUP(D272,Products!A:A,Products!D:D,"MISSING")</f>
        <v>25000</v>
      </c>
      <c r="I272" s="1" t="str">
        <f t="shared" si="8"/>
        <v>Oct</v>
      </c>
      <c r="J272" s="1">
        <f t="shared" si="9"/>
        <v>75000</v>
      </c>
      <c r="K272" s="1" t="str">
        <f>_xlfn.XLOOKUP(C272,Customers!A:A,Customers!B:B,"MISSING")</f>
        <v>Komal Gupta</v>
      </c>
      <c r="L272" s="1" t="str">
        <f>_xlfn.XLOOKUP(D272,Products!A:A,Products!B:B,"MISSING")</f>
        <v>Sofa</v>
      </c>
    </row>
    <row r="273" spans="1:12">
      <c r="A273" s="1">
        <v>1272</v>
      </c>
      <c r="B273" s="1" t="s">
        <v>356</v>
      </c>
      <c r="C273" s="1" t="s">
        <v>83</v>
      </c>
      <c r="D273" s="1" t="s">
        <v>142</v>
      </c>
      <c r="E273" s="1">
        <v>5</v>
      </c>
      <c r="F273" s="1" t="str">
        <f>_xlfn.XLOOKUP(C273,Customers!A:A,Customers!C:C,"MISSING")</f>
        <v>Bangalore</v>
      </c>
      <c r="G273" s="1" t="str">
        <f>_xlfn.XLOOKUP(D273,Products!A:A,Products!C:C,"MISSING")</f>
        <v>Electronics</v>
      </c>
      <c r="H273" s="1">
        <f>_xlfn.XLOOKUP(D273,Products!A:A,Products!D:D,"MISSING")</f>
        <v>15000</v>
      </c>
      <c r="I273" s="1" t="str">
        <f t="shared" si="8"/>
        <v>May</v>
      </c>
      <c r="J273" s="1">
        <f t="shared" si="9"/>
        <v>75000</v>
      </c>
      <c r="K273" s="1" t="str">
        <f>_xlfn.XLOOKUP(C273,Customers!A:A,Customers!B:B,"MISSING")</f>
        <v>Priya Kapoor</v>
      </c>
      <c r="L273" s="1" t="str">
        <f>_xlfn.XLOOKUP(D273,Products!A:A,Products!B:B,"MISSING")</f>
        <v>Tablet</v>
      </c>
    </row>
    <row r="274" spans="1:12">
      <c r="A274" s="1">
        <v>1273</v>
      </c>
      <c r="B274" s="1" t="s">
        <v>164</v>
      </c>
      <c r="C274" s="1" t="s">
        <v>91</v>
      </c>
      <c r="D274" s="1" t="s">
        <v>149</v>
      </c>
      <c r="E274" s="1">
        <v>1</v>
      </c>
      <c r="F274" s="1" t="str">
        <f>_xlfn.XLOOKUP(C274,Customers!A:A,Customers!C:C,"MISSING")</f>
        <v>Jaipur</v>
      </c>
      <c r="G274" s="1" t="str">
        <f>_xlfn.XLOOKUP(D274,Products!A:A,Products!C:C,"MISSING")</f>
        <v>Furniture</v>
      </c>
      <c r="H274" s="1">
        <f>_xlfn.XLOOKUP(D274,Products!A:A,Products!D:D,"MISSING")</f>
        <v>25000</v>
      </c>
      <c r="I274" s="1" t="str">
        <f t="shared" si="8"/>
        <v>Jan</v>
      </c>
      <c r="J274" s="1">
        <f t="shared" si="9"/>
        <v>25000</v>
      </c>
      <c r="K274" s="1" t="str">
        <f>_xlfn.XLOOKUP(C274,Customers!A:A,Customers!B:B,"MISSING")</f>
        <v>Karan Mehta</v>
      </c>
      <c r="L274" s="1" t="str">
        <f>_xlfn.XLOOKUP(D274,Products!A:A,Products!B:B,"MISSING")</f>
        <v>Sofa</v>
      </c>
    </row>
    <row r="275" spans="1:12">
      <c r="A275" s="1">
        <v>1274</v>
      </c>
      <c r="B275" s="1" t="s">
        <v>337</v>
      </c>
      <c r="C275" s="1" t="s">
        <v>20</v>
      </c>
      <c r="D275" s="1" t="s">
        <v>158</v>
      </c>
      <c r="E275" s="1">
        <v>5</v>
      </c>
      <c r="F275" s="1" t="str">
        <f>_xlfn.XLOOKUP(C275,Customers!A:A,Customers!C:C,"MISSING")</f>
        <v>Bangalore</v>
      </c>
      <c r="G275" s="1" t="str">
        <f>_xlfn.XLOOKUP(D275,Products!A:A,Products!C:C,"MISSING")</f>
        <v>Clothing</v>
      </c>
      <c r="H275" s="1">
        <f>_xlfn.XLOOKUP(D275,Products!A:A,Products!D:D,"MISSING")</f>
        <v>3500</v>
      </c>
      <c r="I275" s="1" t="str">
        <f t="shared" si="8"/>
        <v>Aug</v>
      </c>
      <c r="J275" s="1">
        <f t="shared" si="9"/>
        <v>17500</v>
      </c>
      <c r="K275" s="1" t="str">
        <f>_xlfn.XLOOKUP(C275,Customers!A:A,Customers!B:B,"MISSING")</f>
        <v>Komal Gupta</v>
      </c>
      <c r="L275" s="1" t="str">
        <f>_xlfn.XLOOKUP(D275,Products!A:A,Products!B:B,"MISSING")</f>
        <v>Shoes</v>
      </c>
    </row>
    <row r="276" spans="1:12">
      <c r="A276" s="1">
        <v>1275</v>
      </c>
      <c r="B276" s="1" t="s">
        <v>258</v>
      </c>
      <c r="C276" s="1" t="s">
        <v>109</v>
      </c>
      <c r="D276" s="1" t="s">
        <v>154</v>
      </c>
      <c r="E276" s="1">
        <v>5</v>
      </c>
      <c r="F276" s="1" t="str">
        <f>_xlfn.XLOOKUP(C276,Customers!A:A,Customers!C:C,"MISSING")</f>
        <v>Mumbai</v>
      </c>
      <c r="G276" s="1" t="str">
        <f>_xlfn.XLOOKUP(D276,Products!A:A,Products!C:C,"MISSING")</f>
        <v>Clothing</v>
      </c>
      <c r="H276" s="1">
        <f>_xlfn.XLOOKUP(D276,Products!A:A,Products!D:D,"MISSING")</f>
        <v>2500</v>
      </c>
      <c r="I276" s="1" t="str">
        <f t="shared" si="8"/>
        <v>Jul</v>
      </c>
      <c r="J276" s="1">
        <f t="shared" si="9"/>
        <v>12500</v>
      </c>
      <c r="K276" s="1" t="str">
        <f>_xlfn.XLOOKUP(C276,Customers!A:A,Customers!B:B,"MISSING")</f>
        <v>Nitin Joshi</v>
      </c>
      <c r="L276" s="1" t="str">
        <f>_xlfn.XLOOKUP(D276,Products!A:A,Products!B:B,"MISSING")</f>
        <v>Jeans</v>
      </c>
    </row>
    <row r="277" spans="1:12">
      <c r="A277" s="1">
        <v>1276</v>
      </c>
      <c r="B277" s="1" t="s">
        <v>357</v>
      </c>
      <c r="C277" s="1" t="s">
        <v>16</v>
      </c>
      <c r="D277" s="1" t="s">
        <v>156</v>
      </c>
      <c r="E277" s="1">
        <v>3</v>
      </c>
      <c r="F277" s="1" t="str">
        <f>_xlfn.XLOOKUP(C277,Customers!A:A,Customers!C:C,"MISSING")</f>
        <v>Hyderabad</v>
      </c>
      <c r="G277" s="1" t="str">
        <f>_xlfn.XLOOKUP(D277,Products!A:A,Products!C:C,"MISSING")</f>
        <v>Clothing</v>
      </c>
      <c r="H277" s="1">
        <f>_xlfn.XLOOKUP(D277,Products!A:A,Products!D:D,"MISSING")</f>
        <v>1800</v>
      </c>
      <c r="I277" s="1" t="str">
        <f t="shared" si="8"/>
        <v>Mar</v>
      </c>
      <c r="J277" s="1">
        <f t="shared" si="9"/>
        <v>5400</v>
      </c>
      <c r="K277" s="1" t="str">
        <f>_xlfn.XLOOKUP(C277,Customers!A:A,Customers!B:B,"MISSING")</f>
        <v>Rahul Sharma</v>
      </c>
      <c r="L277" s="1" t="str">
        <f>_xlfn.XLOOKUP(D277,Products!A:A,Products!B:B,"MISSING")</f>
        <v>Shirt</v>
      </c>
    </row>
    <row r="278" spans="1:12">
      <c r="A278" s="1">
        <v>1277</v>
      </c>
      <c r="B278" s="1" t="s">
        <v>309</v>
      </c>
      <c r="C278" s="1" t="s">
        <v>116</v>
      </c>
      <c r="D278" s="1" t="s">
        <v>151</v>
      </c>
      <c r="E278" s="1">
        <v>4</v>
      </c>
      <c r="F278" s="1" t="str">
        <f>_xlfn.XLOOKUP(C278,Customers!A:A,Customers!C:C,"MISSING")</f>
        <v>Kolkata</v>
      </c>
      <c r="G278" s="1" t="str">
        <f>_xlfn.XLOOKUP(D278,Products!A:A,Products!C:C,"MISSING")</f>
        <v>Clothing</v>
      </c>
      <c r="H278" s="1">
        <f>_xlfn.XLOOKUP(D278,Products!A:A,Products!D:D,"MISSING")</f>
        <v>1500</v>
      </c>
      <c r="I278" s="1" t="str">
        <f t="shared" si="8"/>
        <v>Jul</v>
      </c>
      <c r="J278" s="1">
        <f t="shared" si="9"/>
        <v>6000</v>
      </c>
      <c r="K278" s="1" t="str">
        <f>_xlfn.XLOOKUP(C278,Customers!A:A,Customers!B:B,"MISSING")</f>
        <v>Tanya Sethi</v>
      </c>
      <c r="L278" s="1" t="str">
        <f>_xlfn.XLOOKUP(D278,Products!A:A,Products!B:B,"MISSING")</f>
        <v>T-Shirt</v>
      </c>
    </row>
    <row r="279" spans="1:12">
      <c r="A279" s="1">
        <v>1278</v>
      </c>
      <c r="B279" s="1" t="s">
        <v>358</v>
      </c>
      <c r="C279" s="1" t="s">
        <v>97</v>
      </c>
      <c r="D279" s="1" t="s">
        <v>156</v>
      </c>
      <c r="E279" s="1">
        <v>1</v>
      </c>
      <c r="F279" s="1" t="str">
        <f>_xlfn.XLOOKUP(C279,Customers!A:A,Customers!C:C,"MISSING")</f>
        <v>Kolkata</v>
      </c>
      <c r="G279" s="1" t="str">
        <f>_xlfn.XLOOKUP(D279,Products!A:A,Products!C:C,"MISSING")</f>
        <v>Clothing</v>
      </c>
      <c r="H279" s="1">
        <f>_xlfn.XLOOKUP(D279,Products!A:A,Products!D:D,"MISSING")</f>
        <v>1800</v>
      </c>
      <c r="I279" s="1" t="str">
        <f t="shared" si="8"/>
        <v>Sep</v>
      </c>
      <c r="J279" s="1">
        <f t="shared" si="9"/>
        <v>1800</v>
      </c>
      <c r="K279" s="1" t="str">
        <f>_xlfn.XLOOKUP(C279,Customers!A:A,Customers!B:B,"MISSING")</f>
        <v>Rohit Sen</v>
      </c>
      <c r="L279" s="1" t="str">
        <f>_xlfn.XLOOKUP(D279,Products!A:A,Products!B:B,"MISSING")</f>
        <v>Shirt</v>
      </c>
    </row>
    <row r="280" spans="1:12">
      <c r="A280" s="1">
        <v>1279</v>
      </c>
      <c r="B280" s="1" t="s">
        <v>234</v>
      </c>
      <c r="C280" s="1" t="s">
        <v>89</v>
      </c>
      <c r="D280" s="1" t="s">
        <v>142</v>
      </c>
      <c r="E280" s="1">
        <v>2</v>
      </c>
      <c r="F280" s="1" t="str">
        <f>_xlfn.XLOOKUP(C280,Customers!A:A,Customers!C:C,"MISSING")</f>
        <v>Bangalore</v>
      </c>
      <c r="G280" s="1" t="str">
        <f>_xlfn.XLOOKUP(D280,Products!A:A,Products!C:C,"MISSING")</f>
        <v>Electronics</v>
      </c>
      <c r="H280" s="1">
        <f>_xlfn.XLOOKUP(D280,Products!A:A,Products!D:D,"MISSING")</f>
        <v>15000</v>
      </c>
      <c r="I280" s="1" t="str">
        <f t="shared" si="8"/>
        <v>Nov</v>
      </c>
      <c r="J280" s="1">
        <f t="shared" si="9"/>
        <v>30000</v>
      </c>
      <c r="K280" s="1" t="str">
        <f>_xlfn.XLOOKUP(C280,Customers!A:A,Customers!B:B,"MISSING")</f>
        <v>Priya Kapoor</v>
      </c>
      <c r="L280" s="1" t="str">
        <f>_xlfn.XLOOKUP(D280,Products!A:A,Products!B:B,"MISSING")</f>
        <v>Tablet</v>
      </c>
    </row>
    <row r="281" spans="1:12">
      <c r="A281" s="1">
        <v>1280</v>
      </c>
      <c r="B281" s="1" t="s">
        <v>215</v>
      </c>
      <c r="C281" s="1" t="s">
        <v>99</v>
      </c>
      <c r="D281" s="1" t="s">
        <v>154</v>
      </c>
      <c r="E281" s="1">
        <v>2</v>
      </c>
      <c r="F281" s="1" t="str">
        <f>_xlfn.XLOOKUP(C281,Customers!A:A,Customers!C:C,"MISSING")</f>
        <v>Pune</v>
      </c>
      <c r="G281" s="1" t="str">
        <f>_xlfn.XLOOKUP(D281,Products!A:A,Products!C:C,"MISSING")</f>
        <v>Clothing</v>
      </c>
      <c r="H281" s="1">
        <f>_xlfn.XLOOKUP(D281,Products!A:A,Products!D:D,"MISSING")</f>
        <v>2500</v>
      </c>
      <c r="I281" s="1" t="str">
        <f t="shared" si="8"/>
        <v>Dec</v>
      </c>
      <c r="J281" s="1">
        <f t="shared" si="9"/>
        <v>5000</v>
      </c>
      <c r="K281" s="1" t="str">
        <f>_xlfn.XLOOKUP(C281,Customers!A:A,Customers!B:B,"MISSING")</f>
        <v>Rohit Sen</v>
      </c>
      <c r="L281" s="1" t="str">
        <f>_xlfn.XLOOKUP(D281,Products!A:A,Products!B:B,"MISSING")</f>
        <v>Jeans</v>
      </c>
    </row>
    <row r="282" spans="1:12">
      <c r="A282" s="1">
        <v>1281</v>
      </c>
      <c r="B282" s="1" t="s">
        <v>359</v>
      </c>
      <c r="C282" s="1" t="s">
        <v>100</v>
      </c>
      <c r="D282" s="1" t="s">
        <v>158</v>
      </c>
      <c r="E282" s="1">
        <v>1</v>
      </c>
      <c r="F282" s="1" t="str">
        <f>_xlfn.XLOOKUP(C282,Customers!A:A,Customers!C:C,"MISSING")</f>
        <v>Ahmedabad</v>
      </c>
      <c r="G282" s="1" t="str">
        <f>_xlfn.XLOOKUP(D282,Products!A:A,Products!C:C,"MISSING")</f>
        <v>Clothing</v>
      </c>
      <c r="H282" s="1">
        <f>_xlfn.XLOOKUP(D282,Products!A:A,Products!D:D,"MISSING")</f>
        <v>3500</v>
      </c>
      <c r="I282" s="1" t="str">
        <f t="shared" si="8"/>
        <v>Aug</v>
      </c>
      <c r="J282" s="1">
        <f t="shared" si="9"/>
        <v>3500</v>
      </c>
      <c r="K282" s="1" t="str">
        <f>_xlfn.XLOOKUP(C282,Customers!A:A,Customers!B:B,"MISSING")</f>
        <v>Vikas Nair</v>
      </c>
      <c r="L282" s="1" t="str">
        <f>_xlfn.XLOOKUP(D282,Products!A:A,Products!B:B,"MISSING")</f>
        <v>Shoes</v>
      </c>
    </row>
    <row r="283" spans="1:12">
      <c r="A283" s="1">
        <v>1282</v>
      </c>
      <c r="B283" s="1" t="s">
        <v>360</v>
      </c>
      <c r="C283" s="1" t="s">
        <v>109</v>
      </c>
      <c r="D283" s="1" t="s">
        <v>149</v>
      </c>
      <c r="E283" s="1">
        <v>5</v>
      </c>
      <c r="F283" s="1" t="str">
        <f>_xlfn.XLOOKUP(C283,Customers!A:A,Customers!C:C,"MISSING")</f>
        <v>Mumbai</v>
      </c>
      <c r="G283" s="1" t="str">
        <f>_xlfn.XLOOKUP(D283,Products!A:A,Products!C:C,"MISSING")</f>
        <v>Furniture</v>
      </c>
      <c r="H283" s="1">
        <f>_xlfn.XLOOKUP(D283,Products!A:A,Products!D:D,"MISSING")</f>
        <v>25000</v>
      </c>
      <c r="I283" s="1" t="str">
        <f t="shared" si="8"/>
        <v>Jan</v>
      </c>
      <c r="J283" s="1">
        <f t="shared" si="9"/>
        <v>125000</v>
      </c>
      <c r="K283" s="1" t="str">
        <f>_xlfn.XLOOKUP(C283,Customers!A:A,Customers!B:B,"MISSING")</f>
        <v>Nitin Joshi</v>
      </c>
      <c r="L283" s="1" t="str">
        <f>_xlfn.XLOOKUP(D283,Products!A:A,Products!B:B,"MISSING")</f>
        <v>Sofa</v>
      </c>
    </row>
    <row r="284" spans="1:12">
      <c r="A284" s="1">
        <v>1283</v>
      </c>
      <c r="B284" s="1" t="s">
        <v>238</v>
      </c>
      <c r="C284" s="1" t="s">
        <v>121</v>
      </c>
      <c r="D284" s="1" t="s">
        <v>151</v>
      </c>
      <c r="E284" s="1">
        <v>1</v>
      </c>
      <c r="F284" s="1" t="str">
        <f>_xlfn.XLOOKUP(C284,Customers!A:A,Customers!C:C,"MISSING")</f>
        <v>Bangalore</v>
      </c>
      <c r="G284" s="1" t="str">
        <f>_xlfn.XLOOKUP(D284,Products!A:A,Products!C:C,"MISSING")</f>
        <v>Clothing</v>
      </c>
      <c r="H284" s="1">
        <f>_xlfn.XLOOKUP(D284,Products!A:A,Products!D:D,"MISSING")</f>
        <v>1500</v>
      </c>
      <c r="I284" s="1" t="str">
        <f t="shared" si="8"/>
        <v>Oct</v>
      </c>
      <c r="J284" s="1">
        <f t="shared" si="9"/>
        <v>1500</v>
      </c>
      <c r="K284" s="1" t="str">
        <f>_xlfn.XLOOKUP(C284,Customers!A:A,Customers!B:B,"MISSING")</f>
        <v>Ishita Bose</v>
      </c>
      <c r="L284" s="1" t="str">
        <f>_xlfn.XLOOKUP(D284,Products!A:A,Products!B:B,"MISSING")</f>
        <v>T-Shirt</v>
      </c>
    </row>
    <row r="285" spans="1:12">
      <c r="A285" s="1">
        <v>1284</v>
      </c>
      <c r="B285" s="1" t="s">
        <v>361</v>
      </c>
      <c r="C285" s="1" t="s">
        <v>75</v>
      </c>
      <c r="D285" s="1" t="s">
        <v>142</v>
      </c>
      <c r="E285" s="1">
        <v>2</v>
      </c>
      <c r="F285" s="1" t="str">
        <f>_xlfn.XLOOKUP(C285,Customers!A:A,Customers!C:C,"MISSING")</f>
        <v>Mumbai</v>
      </c>
      <c r="G285" s="1" t="str">
        <f>_xlfn.XLOOKUP(D285,Products!A:A,Products!C:C,"MISSING")</f>
        <v>Electronics</v>
      </c>
      <c r="H285" s="1">
        <f>_xlfn.XLOOKUP(D285,Products!A:A,Products!D:D,"MISSING")</f>
        <v>15000</v>
      </c>
      <c r="I285" s="1" t="str">
        <f t="shared" si="8"/>
        <v>May</v>
      </c>
      <c r="J285" s="1">
        <f t="shared" si="9"/>
        <v>30000</v>
      </c>
      <c r="K285" s="1" t="str">
        <f>_xlfn.XLOOKUP(C285,Customers!A:A,Customers!B:B,"MISSING")</f>
        <v>Sneha Iyer</v>
      </c>
      <c r="L285" s="1" t="str">
        <f>_xlfn.XLOOKUP(D285,Products!A:A,Products!B:B,"MISSING")</f>
        <v>Tablet</v>
      </c>
    </row>
    <row r="286" spans="1:12">
      <c r="A286" s="1">
        <v>1285</v>
      </c>
      <c r="B286" s="1" t="s">
        <v>362</v>
      </c>
      <c r="C286" s="1" t="s">
        <v>71</v>
      </c>
      <c r="D286" s="1" t="s">
        <v>149</v>
      </c>
      <c r="E286" s="1">
        <v>5</v>
      </c>
      <c r="F286" s="1" t="str">
        <f>_xlfn.XLOOKUP(C286,Customers!A:A,Customers!C:C,"MISSING")</f>
        <v>Mumbai</v>
      </c>
      <c r="G286" s="1" t="str">
        <f>_xlfn.XLOOKUP(D286,Products!A:A,Products!C:C,"MISSING")</f>
        <v>Furniture</v>
      </c>
      <c r="H286" s="1">
        <f>_xlfn.XLOOKUP(D286,Products!A:A,Products!D:D,"MISSING")</f>
        <v>25000</v>
      </c>
      <c r="I286" s="1" t="str">
        <f t="shared" si="8"/>
        <v>Sep</v>
      </c>
      <c r="J286" s="1">
        <f t="shared" si="9"/>
        <v>125000</v>
      </c>
      <c r="K286" s="1" t="str">
        <f>_xlfn.XLOOKUP(C286,Customers!A:A,Customers!B:B,"MISSING")</f>
        <v>Neha Singh</v>
      </c>
      <c r="L286" s="1" t="str">
        <f>_xlfn.XLOOKUP(D286,Products!A:A,Products!B:B,"MISSING")</f>
        <v>Sofa</v>
      </c>
    </row>
    <row r="287" spans="1:12">
      <c r="A287" s="1">
        <v>1286</v>
      </c>
      <c r="B287" s="1" t="s">
        <v>216</v>
      </c>
      <c r="C287" s="1" t="s">
        <v>71</v>
      </c>
      <c r="D287" s="1" t="s">
        <v>158</v>
      </c>
      <c r="E287" s="1">
        <v>3</v>
      </c>
      <c r="F287" s="1" t="str">
        <f>_xlfn.XLOOKUP(C287,Customers!A:A,Customers!C:C,"MISSING")</f>
        <v>Mumbai</v>
      </c>
      <c r="G287" s="1" t="str">
        <f>_xlfn.XLOOKUP(D287,Products!A:A,Products!C:C,"MISSING")</f>
        <v>Clothing</v>
      </c>
      <c r="H287" s="1">
        <f>_xlfn.XLOOKUP(D287,Products!A:A,Products!D:D,"MISSING")</f>
        <v>3500</v>
      </c>
      <c r="I287" s="1" t="str">
        <f t="shared" si="8"/>
        <v>Feb</v>
      </c>
      <c r="J287" s="1">
        <f t="shared" si="9"/>
        <v>10500</v>
      </c>
      <c r="K287" s="1" t="str">
        <f>_xlfn.XLOOKUP(C287,Customers!A:A,Customers!B:B,"MISSING")</f>
        <v>Neha Singh</v>
      </c>
      <c r="L287" s="1" t="str">
        <f>_xlfn.XLOOKUP(D287,Products!A:A,Products!B:B,"MISSING")</f>
        <v>Shoes</v>
      </c>
    </row>
    <row r="288" spans="1:12">
      <c r="A288" s="1">
        <v>1287</v>
      </c>
      <c r="B288" s="1" t="s">
        <v>363</v>
      </c>
      <c r="C288" s="1" t="s">
        <v>124</v>
      </c>
      <c r="D288" s="1" t="s">
        <v>149</v>
      </c>
      <c r="E288" s="1">
        <v>5</v>
      </c>
      <c r="F288" s="1" t="str">
        <f>_xlfn.XLOOKUP(C288,Customers!A:A,Customers!C:C,"MISSING")</f>
        <v>Lucknow</v>
      </c>
      <c r="G288" s="1" t="str">
        <f>_xlfn.XLOOKUP(D288,Products!A:A,Products!C:C,"MISSING")</f>
        <v>Furniture</v>
      </c>
      <c r="H288" s="1">
        <f>_xlfn.XLOOKUP(D288,Products!A:A,Products!D:D,"MISSING")</f>
        <v>25000</v>
      </c>
      <c r="I288" s="1" t="str">
        <f t="shared" si="8"/>
        <v>Mar</v>
      </c>
      <c r="J288" s="1">
        <f t="shared" si="9"/>
        <v>125000</v>
      </c>
      <c r="K288" s="1" t="str">
        <f>_xlfn.XLOOKUP(C288,Customers!A:A,Customers!B:B,"MISSING")</f>
        <v>Tanya Sethi</v>
      </c>
      <c r="L288" s="1" t="str">
        <f>_xlfn.XLOOKUP(D288,Products!A:A,Products!B:B,"MISSING")</f>
        <v>Sofa</v>
      </c>
    </row>
    <row r="289" spans="1:12">
      <c r="A289" s="1">
        <v>1288</v>
      </c>
      <c r="B289" s="1" t="s">
        <v>235</v>
      </c>
      <c r="C289" s="1" t="s">
        <v>76</v>
      </c>
      <c r="D289" s="1" t="s">
        <v>158</v>
      </c>
      <c r="E289" s="1">
        <v>5</v>
      </c>
      <c r="F289" s="1" t="str">
        <f>_xlfn.XLOOKUP(C289,Customers!A:A,Customers!C:C,"MISSING")</f>
        <v>Ahmedabad</v>
      </c>
      <c r="G289" s="1" t="str">
        <f>_xlfn.XLOOKUP(D289,Products!A:A,Products!C:C,"MISSING")</f>
        <v>Clothing</v>
      </c>
      <c r="H289" s="1">
        <f>_xlfn.XLOOKUP(D289,Products!A:A,Products!D:D,"MISSING")</f>
        <v>3500</v>
      </c>
      <c r="I289" s="1" t="str">
        <f t="shared" si="8"/>
        <v>Jan</v>
      </c>
      <c r="J289" s="1">
        <f t="shared" si="9"/>
        <v>17500</v>
      </c>
      <c r="K289" s="1" t="str">
        <f>_xlfn.XLOOKUP(C289,Customers!A:A,Customers!B:B,"MISSING")</f>
        <v>Riya Das</v>
      </c>
      <c r="L289" s="1" t="str">
        <f>_xlfn.XLOOKUP(D289,Products!A:A,Products!B:B,"MISSING")</f>
        <v>Shoes</v>
      </c>
    </row>
    <row r="290" spans="1:12">
      <c r="A290" s="1">
        <v>1289</v>
      </c>
      <c r="B290" s="1" t="s">
        <v>364</v>
      </c>
      <c r="C290" s="1" t="s">
        <v>42</v>
      </c>
      <c r="D290" s="1" t="s">
        <v>142</v>
      </c>
      <c r="E290" s="1">
        <v>3</v>
      </c>
      <c r="F290" s="1" t="str">
        <f>_xlfn.XLOOKUP(C290,Customers!A:A,Customers!C:C,"MISSING")</f>
        <v>Ahmedabad</v>
      </c>
      <c r="G290" s="1" t="str">
        <f>_xlfn.XLOOKUP(D290,Products!A:A,Products!C:C,"MISSING")</f>
        <v>Electronics</v>
      </c>
      <c r="H290" s="1">
        <f>_xlfn.XLOOKUP(D290,Products!A:A,Products!D:D,"MISSING")</f>
        <v>15000</v>
      </c>
      <c r="I290" s="1" t="str">
        <f t="shared" si="8"/>
        <v>Oct</v>
      </c>
      <c r="J290" s="1">
        <f t="shared" si="9"/>
        <v>45000</v>
      </c>
      <c r="K290" s="1" t="str">
        <f>_xlfn.XLOOKUP(C290,Customers!A:A,Customers!B:B,"MISSING")</f>
        <v>Ankit Roy</v>
      </c>
      <c r="L290" s="1" t="str">
        <f>_xlfn.XLOOKUP(D290,Products!A:A,Products!B:B,"MISSING")</f>
        <v>Tablet</v>
      </c>
    </row>
    <row r="291" spans="1:12">
      <c r="A291" s="1">
        <v>1290</v>
      </c>
      <c r="B291" s="1" t="s">
        <v>273</v>
      </c>
      <c r="C291" s="1" t="s">
        <v>72</v>
      </c>
      <c r="D291" s="1" t="s">
        <v>147</v>
      </c>
      <c r="E291" s="1">
        <v>5</v>
      </c>
      <c r="F291" s="1" t="str">
        <f>_xlfn.XLOOKUP(C291,Customers!A:A,Customers!C:C,"MISSING")</f>
        <v>Pune</v>
      </c>
      <c r="G291" s="1" t="str">
        <f>_xlfn.XLOOKUP(D291,Products!A:A,Products!C:C,"MISSING")</f>
        <v>Furniture</v>
      </c>
      <c r="H291" s="1">
        <f>_xlfn.XLOOKUP(D291,Products!A:A,Products!D:D,"MISSING")</f>
        <v>7000</v>
      </c>
      <c r="I291" s="1" t="str">
        <f t="shared" si="8"/>
        <v>Aug</v>
      </c>
      <c r="J291" s="1">
        <f t="shared" si="9"/>
        <v>35000</v>
      </c>
      <c r="K291" s="1" t="str">
        <f>_xlfn.XLOOKUP(C291,Customers!A:A,Customers!B:B,"MISSING")</f>
        <v>Nitin Joshi</v>
      </c>
      <c r="L291" s="1" t="str">
        <f>_xlfn.XLOOKUP(D291,Products!A:A,Products!B:B,"MISSING")</f>
        <v>Table</v>
      </c>
    </row>
    <row r="292" spans="1:12">
      <c r="A292" s="1">
        <v>1291</v>
      </c>
      <c r="B292" s="1" t="s">
        <v>365</v>
      </c>
      <c r="C292" s="1" t="s">
        <v>110</v>
      </c>
      <c r="D292" s="1" t="s">
        <v>142</v>
      </c>
      <c r="E292" s="1">
        <v>5</v>
      </c>
      <c r="F292" s="1" t="str">
        <f>_xlfn.XLOOKUP(C292,Customers!A:A,Customers!C:C,"MISSING")</f>
        <v>Delhi</v>
      </c>
      <c r="G292" s="1" t="str">
        <f>_xlfn.XLOOKUP(D292,Products!A:A,Products!C:C,"MISSING")</f>
        <v>Electronics</v>
      </c>
      <c r="H292" s="1">
        <f>_xlfn.XLOOKUP(D292,Products!A:A,Products!D:D,"MISSING")</f>
        <v>15000</v>
      </c>
      <c r="I292" s="1" t="str">
        <f t="shared" si="8"/>
        <v>Mar</v>
      </c>
      <c r="J292" s="1">
        <f t="shared" si="9"/>
        <v>75000</v>
      </c>
      <c r="K292" s="1" t="str">
        <f>_xlfn.XLOOKUP(C292,Customers!A:A,Customers!B:B,"MISSING")</f>
        <v>Meera Kulkarni</v>
      </c>
      <c r="L292" s="1" t="str">
        <f>_xlfn.XLOOKUP(D292,Products!A:A,Products!B:B,"MISSING")</f>
        <v>Tablet</v>
      </c>
    </row>
    <row r="293" spans="1:12">
      <c r="A293" s="1">
        <v>1292</v>
      </c>
      <c r="B293" s="1" t="s">
        <v>366</v>
      </c>
      <c r="C293" s="1" t="s">
        <v>57</v>
      </c>
      <c r="D293" s="1" t="s">
        <v>147</v>
      </c>
      <c r="E293" s="1">
        <v>5</v>
      </c>
      <c r="F293" s="1" t="str">
        <f>_xlfn.XLOOKUP(C293,Customers!A:A,Customers!C:C,"MISSING")</f>
        <v>Jaipur</v>
      </c>
      <c r="G293" s="1" t="str">
        <f>_xlfn.XLOOKUP(D293,Products!A:A,Products!C:C,"MISSING")</f>
        <v>Furniture</v>
      </c>
      <c r="H293" s="1">
        <f>_xlfn.XLOOKUP(D293,Products!A:A,Products!D:D,"MISSING")</f>
        <v>7000</v>
      </c>
      <c r="I293" s="1" t="str">
        <f t="shared" si="8"/>
        <v>Oct</v>
      </c>
      <c r="J293" s="1">
        <f t="shared" si="9"/>
        <v>35000</v>
      </c>
      <c r="K293" s="1" t="str">
        <f>_xlfn.XLOOKUP(C293,Customers!A:A,Customers!B:B,"MISSING")</f>
        <v>Manav Arora</v>
      </c>
      <c r="L293" s="1" t="str">
        <f>_xlfn.XLOOKUP(D293,Products!A:A,Products!B:B,"MISSING")</f>
        <v>Table</v>
      </c>
    </row>
    <row r="294" spans="1:12">
      <c r="A294" s="1">
        <v>1293</v>
      </c>
      <c r="B294" s="1" t="s">
        <v>367</v>
      </c>
      <c r="C294" s="1" t="s">
        <v>20</v>
      </c>
      <c r="D294" s="1" t="s">
        <v>142</v>
      </c>
      <c r="E294" s="1">
        <v>3</v>
      </c>
      <c r="F294" s="1" t="str">
        <f>_xlfn.XLOOKUP(C294,Customers!A:A,Customers!C:C,"MISSING")</f>
        <v>Bangalore</v>
      </c>
      <c r="G294" s="1" t="str">
        <f>_xlfn.XLOOKUP(D294,Products!A:A,Products!C:C,"MISSING")</f>
        <v>Electronics</v>
      </c>
      <c r="H294" s="1">
        <f>_xlfn.XLOOKUP(D294,Products!A:A,Products!D:D,"MISSING")</f>
        <v>15000</v>
      </c>
      <c r="I294" s="1" t="str">
        <f t="shared" si="8"/>
        <v>Feb</v>
      </c>
      <c r="J294" s="1">
        <f t="shared" si="9"/>
        <v>45000</v>
      </c>
      <c r="K294" s="1" t="str">
        <f>_xlfn.XLOOKUP(C294,Customers!A:A,Customers!B:B,"MISSING")</f>
        <v>Komal Gupta</v>
      </c>
      <c r="L294" s="1" t="str">
        <f>_xlfn.XLOOKUP(D294,Products!A:A,Products!B:B,"MISSING")</f>
        <v>Tablet</v>
      </c>
    </row>
    <row r="295" spans="1:12">
      <c r="A295" s="1">
        <v>1294</v>
      </c>
      <c r="B295" s="1" t="s">
        <v>272</v>
      </c>
      <c r="C295" s="1" t="s">
        <v>103</v>
      </c>
      <c r="D295" s="1" t="s">
        <v>140</v>
      </c>
      <c r="E295" s="1">
        <v>1</v>
      </c>
      <c r="F295" s="1" t="str">
        <f>_xlfn.XLOOKUP(C295,Customers!A:A,Customers!C:C,"MISSING")</f>
        <v>Bangalore</v>
      </c>
      <c r="G295" s="1" t="str">
        <f>_xlfn.XLOOKUP(D295,Products!A:A,Products!C:C,"MISSING")</f>
        <v>Electronics</v>
      </c>
      <c r="H295" s="1">
        <f>_xlfn.XLOOKUP(D295,Products!A:A,Products!D:D,"MISSING")</f>
        <v>20000</v>
      </c>
      <c r="I295" s="1" t="str">
        <f t="shared" si="8"/>
        <v>Jan</v>
      </c>
      <c r="J295" s="1">
        <f t="shared" si="9"/>
        <v>20000</v>
      </c>
      <c r="K295" s="1" t="str">
        <f>_xlfn.XLOOKUP(C295,Customers!A:A,Customers!B:B,"MISSING")</f>
        <v>Neha Singh</v>
      </c>
      <c r="L295" s="1" t="str">
        <f>_xlfn.XLOOKUP(D295,Products!A:A,Products!B:B,"MISSING")</f>
        <v>Mobile</v>
      </c>
    </row>
    <row r="296" spans="1:12">
      <c r="A296" s="1">
        <v>1295</v>
      </c>
      <c r="B296" s="1" t="s">
        <v>368</v>
      </c>
      <c r="C296" s="1" t="s">
        <v>62</v>
      </c>
      <c r="D296" s="1" t="s">
        <v>140</v>
      </c>
      <c r="E296" s="1">
        <v>4</v>
      </c>
      <c r="F296" s="1" t="str">
        <f>_xlfn.XLOOKUP(C296,Customers!A:A,Customers!C:C,"MISSING")</f>
        <v>Delhi</v>
      </c>
      <c r="G296" s="1" t="str">
        <f>_xlfn.XLOOKUP(D296,Products!A:A,Products!C:C,"MISSING")</f>
        <v>Electronics</v>
      </c>
      <c r="H296" s="1">
        <f>_xlfn.XLOOKUP(D296,Products!A:A,Products!D:D,"MISSING")</f>
        <v>20000</v>
      </c>
      <c r="I296" s="1" t="str">
        <f t="shared" si="8"/>
        <v>Apr</v>
      </c>
      <c r="J296" s="1">
        <f t="shared" si="9"/>
        <v>80000</v>
      </c>
      <c r="K296" s="1" t="str">
        <f>_xlfn.XLOOKUP(C296,Customers!A:A,Customers!B:B,"MISSING")</f>
        <v>Ravi Patel</v>
      </c>
      <c r="L296" s="1" t="str">
        <f>_xlfn.XLOOKUP(D296,Products!A:A,Products!B:B,"MISSING")</f>
        <v>Mobile</v>
      </c>
    </row>
    <row r="297" spans="1:12">
      <c r="A297" s="1">
        <v>1296</v>
      </c>
      <c r="B297" s="1" t="s">
        <v>299</v>
      </c>
      <c r="C297" s="1" t="s">
        <v>100</v>
      </c>
      <c r="D297" s="1" t="s">
        <v>156</v>
      </c>
      <c r="E297" s="1">
        <v>1</v>
      </c>
      <c r="F297" s="1" t="str">
        <f>_xlfn.XLOOKUP(C297,Customers!A:A,Customers!C:C,"MISSING")</f>
        <v>Ahmedabad</v>
      </c>
      <c r="G297" s="1" t="str">
        <f>_xlfn.XLOOKUP(D297,Products!A:A,Products!C:C,"MISSING")</f>
        <v>Clothing</v>
      </c>
      <c r="H297" s="1">
        <f>_xlfn.XLOOKUP(D297,Products!A:A,Products!D:D,"MISSING")</f>
        <v>1800</v>
      </c>
      <c r="I297" s="1" t="str">
        <f t="shared" si="8"/>
        <v>Apr</v>
      </c>
      <c r="J297" s="1">
        <f t="shared" si="9"/>
        <v>1800</v>
      </c>
      <c r="K297" s="1" t="str">
        <f>_xlfn.XLOOKUP(C297,Customers!A:A,Customers!B:B,"MISSING")</f>
        <v>Vikas Nair</v>
      </c>
      <c r="L297" s="1" t="str">
        <f>_xlfn.XLOOKUP(D297,Products!A:A,Products!B:B,"MISSING")</f>
        <v>Shirt</v>
      </c>
    </row>
    <row r="298" spans="1:12">
      <c r="A298" s="1">
        <v>1297</v>
      </c>
      <c r="B298" s="1" t="s">
        <v>188</v>
      </c>
      <c r="C298" s="1" t="s">
        <v>129</v>
      </c>
      <c r="D298" s="1" t="s">
        <v>144</v>
      </c>
      <c r="E298" s="1">
        <v>3</v>
      </c>
      <c r="F298" s="1" t="str">
        <f>_xlfn.XLOOKUP(C298,Customers!A:A,Customers!C:C,"MISSING")</f>
        <v>Chennai</v>
      </c>
      <c r="G298" s="1" t="str">
        <f>_xlfn.XLOOKUP(D298,Products!A:A,Products!C:C,"MISSING")</f>
        <v>Furniture</v>
      </c>
      <c r="H298" s="1">
        <f>_xlfn.XLOOKUP(D298,Products!A:A,Products!D:D,"MISSING")</f>
        <v>3000</v>
      </c>
      <c r="I298" s="1" t="str">
        <f t="shared" si="8"/>
        <v>Dec</v>
      </c>
      <c r="J298" s="1">
        <f t="shared" si="9"/>
        <v>9000</v>
      </c>
      <c r="K298" s="1" t="str">
        <f>_xlfn.XLOOKUP(C298,Customers!A:A,Customers!B:B,"MISSING")</f>
        <v>Neha Singh</v>
      </c>
      <c r="L298" s="1" t="str">
        <f>_xlfn.XLOOKUP(D298,Products!A:A,Products!B:B,"MISSING")</f>
        <v>Chair</v>
      </c>
    </row>
    <row r="299" spans="1:12">
      <c r="A299" s="1">
        <v>1298</v>
      </c>
      <c r="B299" s="1" t="s">
        <v>364</v>
      </c>
      <c r="C299" s="1" t="s">
        <v>20</v>
      </c>
      <c r="D299" s="1" t="s">
        <v>147</v>
      </c>
      <c r="E299" s="1">
        <v>5</v>
      </c>
      <c r="F299" s="1" t="str">
        <f>_xlfn.XLOOKUP(C299,Customers!A:A,Customers!C:C,"MISSING")</f>
        <v>Bangalore</v>
      </c>
      <c r="G299" s="1" t="str">
        <f>_xlfn.XLOOKUP(D299,Products!A:A,Products!C:C,"MISSING")</f>
        <v>Furniture</v>
      </c>
      <c r="H299" s="1">
        <f>_xlfn.XLOOKUP(D299,Products!A:A,Products!D:D,"MISSING")</f>
        <v>7000</v>
      </c>
      <c r="I299" s="1" t="str">
        <f t="shared" si="8"/>
        <v>Oct</v>
      </c>
      <c r="J299" s="1">
        <f t="shared" si="9"/>
        <v>35000</v>
      </c>
      <c r="K299" s="1" t="str">
        <f>_xlfn.XLOOKUP(C299,Customers!A:A,Customers!B:B,"MISSING")</f>
        <v>Komal Gupta</v>
      </c>
      <c r="L299" s="1" t="str">
        <f>_xlfn.XLOOKUP(D299,Products!A:A,Products!B:B,"MISSING")</f>
        <v>Table</v>
      </c>
    </row>
    <row r="300" spans="1:12">
      <c r="A300" s="1">
        <v>1299</v>
      </c>
      <c r="B300" s="1" t="s">
        <v>180</v>
      </c>
      <c r="C300" s="1" t="s">
        <v>66</v>
      </c>
      <c r="D300" s="1" t="s">
        <v>158</v>
      </c>
      <c r="E300" s="1">
        <v>4</v>
      </c>
      <c r="F300" s="1" t="str">
        <f>_xlfn.XLOOKUP(C300,Customers!A:A,Customers!C:C,"MISSING")</f>
        <v>Ahmedabad</v>
      </c>
      <c r="G300" s="1" t="str">
        <f>_xlfn.XLOOKUP(D300,Products!A:A,Products!C:C,"MISSING")</f>
        <v>Clothing</v>
      </c>
      <c r="H300" s="1">
        <f>_xlfn.XLOOKUP(D300,Products!A:A,Products!D:D,"MISSING")</f>
        <v>3500</v>
      </c>
      <c r="I300" s="1" t="str">
        <f t="shared" si="8"/>
        <v>Sep</v>
      </c>
      <c r="J300" s="1">
        <f t="shared" si="9"/>
        <v>14000</v>
      </c>
      <c r="K300" s="1" t="str">
        <f>_xlfn.XLOOKUP(C300,Customers!A:A,Customers!B:B,"MISSING")</f>
        <v>Sejal Shah</v>
      </c>
      <c r="L300" s="1" t="str">
        <f>_xlfn.XLOOKUP(D300,Products!A:A,Products!B:B,"MISSING")</f>
        <v>Shoes</v>
      </c>
    </row>
    <row r="301" spans="1:12">
      <c r="A301" s="1">
        <v>1300</v>
      </c>
      <c r="B301" s="1" t="s">
        <v>282</v>
      </c>
      <c r="C301" s="1" t="s">
        <v>97</v>
      </c>
      <c r="D301" s="1" t="s">
        <v>144</v>
      </c>
      <c r="E301" s="1">
        <v>3</v>
      </c>
      <c r="F301" s="1" t="str">
        <f>_xlfn.XLOOKUP(C301,Customers!A:A,Customers!C:C,"MISSING")</f>
        <v>Kolkata</v>
      </c>
      <c r="G301" s="1" t="str">
        <f>_xlfn.XLOOKUP(D301,Products!A:A,Products!C:C,"MISSING")</f>
        <v>Furniture</v>
      </c>
      <c r="H301" s="1">
        <f>_xlfn.XLOOKUP(D301,Products!A:A,Products!D:D,"MISSING")</f>
        <v>3000</v>
      </c>
      <c r="I301" s="1" t="str">
        <f t="shared" si="8"/>
        <v>Jan</v>
      </c>
      <c r="J301" s="1">
        <f t="shared" si="9"/>
        <v>9000</v>
      </c>
      <c r="K301" s="1" t="str">
        <f>_xlfn.XLOOKUP(C301,Customers!A:A,Customers!B:B,"MISSING")</f>
        <v>Rohit Sen</v>
      </c>
      <c r="L301" s="1" t="str">
        <f>_xlfn.XLOOKUP(D301,Products!A:A,Products!B:B,"MISSING")</f>
        <v>Chair</v>
      </c>
    </row>
    <row r="302" spans="1:12">
      <c r="A302" s="1">
        <v>1301</v>
      </c>
      <c r="B302" s="1" t="s">
        <v>369</v>
      </c>
      <c r="C302" s="1" t="s">
        <v>121</v>
      </c>
      <c r="D302" s="1" t="s">
        <v>149</v>
      </c>
      <c r="E302" s="1">
        <v>5</v>
      </c>
      <c r="F302" s="1" t="str">
        <f>_xlfn.XLOOKUP(C302,Customers!A:A,Customers!C:C,"MISSING")</f>
        <v>Bangalore</v>
      </c>
      <c r="G302" s="1" t="str">
        <f>_xlfn.XLOOKUP(D302,Products!A:A,Products!C:C,"MISSING")</f>
        <v>Furniture</v>
      </c>
      <c r="H302" s="1">
        <f>_xlfn.XLOOKUP(D302,Products!A:A,Products!D:D,"MISSING")</f>
        <v>25000</v>
      </c>
      <c r="I302" s="1" t="str">
        <f t="shared" si="8"/>
        <v>Feb</v>
      </c>
      <c r="J302" s="1">
        <f t="shared" si="9"/>
        <v>125000</v>
      </c>
      <c r="K302" s="1" t="str">
        <f>_xlfn.XLOOKUP(C302,Customers!A:A,Customers!B:B,"MISSING")</f>
        <v>Ishita Bose</v>
      </c>
      <c r="L302" s="1" t="str">
        <f>_xlfn.XLOOKUP(D302,Products!A:A,Products!B:B,"MISSING")</f>
        <v>Sofa</v>
      </c>
    </row>
    <row r="303" spans="1:12">
      <c r="A303" s="1">
        <v>1302</v>
      </c>
      <c r="B303" s="1" t="s">
        <v>370</v>
      </c>
      <c r="C303" s="1" t="s">
        <v>101</v>
      </c>
      <c r="D303" s="1" t="s">
        <v>144</v>
      </c>
      <c r="E303" s="1">
        <v>3</v>
      </c>
      <c r="F303" s="1" t="str">
        <f>_xlfn.XLOOKUP(C303,Customers!A:A,Customers!C:C,"MISSING")</f>
        <v>Chennai</v>
      </c>
      <c r="G303" s="1" t="str">
        <f>_xlfn.XLOOKUP(D303,Products!A:A,Products!C:C,"MISSING")</f>
        <v>Furniture</v>
      </c>
      <c r="H303" s="1">
        <f>_xlfn.XLOOKUP(D303,Products!A:A,Products!D:D,"MISSING")</f>
        <v>3000</v>
      </c>
      <c r="I303" s="1" t="str">
        <f t="shared" si="8"/>
        <v>Nov</v>
      </c>
      <c r="J303" s="1">
        <f t="shared" si="9"/>
        <v>9000</v>
      </c>
      <c r="K303" s="1" t="str">
        <f>_xlfn.XLOOKUP(C303,Customers!A:A,Customers!B:B,"MISSING")</f>
        <v>Rahul Sharma</v>
      </c>
      <c r="L303" s="1" t="str">
        <f>_xlfn.XLOOKUP(D303,Products!A:A,Products!B:B,"MISSING")</f>
        <v>Chair</v>
      </c>
    </row>
    <row r="304" spans="1:12">
      <c r="A304" s="1">
        <v>1303</v>
      </c>
      <c r="B304" s="1" t="s">
        <v>371</v>
      </c>
      <c r="C304" s="1" t="s">
        <v>38</v>
      </c>
      <c r="D304" s="1" t="s">
        <v>158</v>
      </c>
      <c r="E304" s="1">
        <v>5</v>
      </c>
      <c r="F304" s="1" t="str">
        <f>_xlfn.XLOOKUP(C304,Customers!A:A,Customers!C:C,"MISSING")</f>
        <v>Kolkata</v>
      </c>
      <c r="G304" s="1" t="str">
        <f>_xlfn.XLOOKUP(D304,Products!A:A,Products!C:C,"MISSING")</f>
        <v>Clothing</v>
      </c>
      <c r="H304" s="1">
        <f>_xlfn.XLOOKUP(D304,Products!A:A,Products!D:D,"MISSING")</f>
        <v>3500</v>
      </c>
      <c r="I304" s="1" t="str">
        <f t="shared" si="8"/>
        <v>Aug</v>
      </c>
      <c r="J304" s="1">
        <f t="shared" si="9"/>
        <v>17500</v>
      </c>
      <c r="K304" s="1" t="str">
        <f>_xlfn.XLOOKUP(C304,Customers!A:A,Customers!B:B,"MISSING")</f>
        <v>Tanya Sethi</v>
      </c>
      <c r="L304" s="1" t="str">
        <f>_xlfn.XLOOKUP(D304,Products!A:A,Products!B:B,"MISSING")</f>
        <v>Shoes</v>
      </c>
    </row>
    <row r="305" spans="1:12">
      <c r="A305" s="1">
        <v>1304</v>
      </c>
      <c r="B305" s="1" t="s">
        <v>351</v>
      </c>
      <c r="C305" s="1" t="s">
        <v>112</v>
      </c>
      <c r="D305" s="1" t="s">
        <v>151</v>
      </c>
      <c r="E305" s="1">
        <v>1</v>
      </c>
      <c r="F305" s="1" t="str">
        <f>_xlfn.XLOOKUP(C305,Customers!A:A,Customers!C:C,"MISSING")</f>
        <v>Lucknow</v>
      </c>
      <c r="G305" s="1" t="str">
        <f>_xlfn.XLOOKUP(D305,Products!A:A,Products!C:C,"MISSING")</f>
        <v>Clothing</v>
      </c>
      <c r="H305" s="1">
        <f>_xlfn.XLOOKUP(D305,Products!A:A,Products!D:D,"MISSING")</f>
        <v>1500</v>
      </c>
      <c r="I305" s="1" t="str">
        <f t="shared" si="8"/>
        <v>Jun</v>
      </c>
      <c r="J305" s="1">
        <f t="shared" si="9"/>
        <v>1500</v>
      </c>
      <c r="K305" s="1" t="str">
        <f>_xlfn.XLOOKUP(C305,Customers!A:A,Customers!B:B,"MISSING")</f>
        <v>Manav Arora</v>
      </c>
      <c r="L305" s="1" t="str">
        <f>_xlfn.XLOOKUP(D305,Products!A:A,Products!B:B,"MISSING")</f>
        <v>T-Shirt</v>
      </c>
    </row>
    <row r="306" spans="1:12">
      <c r="A306" s="1">
        <v>1305</v>
      </c>
      <c r="B306" s="1" t="s">
        <v>372</v>
      </c>
      <c r="C306" s="1" t="s">
        <v>60</v>
      </c>
      <c r="D306" s="1" t="s">
        <v>156</v>
      </c>
      <c r="E306" s="1">
        <v>2</v>
      </c>
      <c r="F306" s="1" t="str">
        <f>_xlfn.XLOOKUP(C306,Customers!A:A,Customers!C:C,"MISSING")</f>
        <v>Delhi</v>
      </c>
      <c r="G306" s="1" t="str">
        <f>_xlfn.XLOOKUP(D306,Products!A:A,Products!C:C,"MISSING")</f>
        <v>Clothing</v>
      </c>
      <c r="H306" s="1">
        <f>_xlfn.XLOOKUP(D306,Products!A:A,Products!D:D,"MISSING")</f>
        <v>1800</v>
      </c>
      <c r="I306" s="1" t="str">
        <f t="shared" si="8"/>
        <v>May</v>
      </c>
      <c r="J306" s="1">
        <f t="shared" si="9"/>
        <v>3600</v>
      </c>
      <c r="K306" s="1" t="str">
        <f>_xlfn.XLOOKUP(C306,Customers!A:A,Customers!B:B,"MISSING")</f>
        <v>Amit Verma</v>
      </c>
      <c r="L306" s="1" t="str">
        <f>_xlfn.XLOOKUP(D306,Products!A:A,Products!B:B,"MISSING")</f>
        <v>Shirt</v>
      </c>
    </row>
    <row r="307" spans="1:12">
      <c r="A307" s="1">
        <v>1306</v>
      </c>
      <c r="B307" s="1" t="s">
        <v>373</v>
      </c>
      <c r="C307" s="1" t="s">
        <v>116</v>
      </c>
      <c r="D307" s="1" t="s">
        <v>151</v>
      </c>
      <c r="E307" s="1">
        <v>1</v>
      </c>
      <c r="F307" s="1" t="str">
        <f>_xlfn.XLOOKUP(C307,Customers!A:A,Customers!C:C,"MISSING")</f>
        <v>Kolkata</v>
      </c>
      <c r="G307" s="1" t="str">
        <f>_xlfn.XLOOKUP(D307,Products!A:A,Products!C:C,"MISSING")</f>
        <v>Clothing</v>
      </c>
      <c r="H307" s="1">
        <f>_xlfn.XLOOKUP(D307,Products!A:A,Products!D:D,"MISSING")</f>
        <v>1500</v>
      </c>
      <c r="I307" s="1" t="str">
        <f t="shared" si="8"/>
        <v>Sep</v>
      </c>
      <c r="J307" s="1">
        <f t="shared" si="9"/>
        <v>1500</v>
      </c>
      <c r="K307" s="1" t="str">
        <f>_xlfn.XLOOKUP(C307,Customers!A:A,Customers!B:B,"MISSING")</f>
        <v>Tanya Sethi</v>
      </c>
      <c r="L307" s="1" t="str">
        <f>_xlfn.XLOOKUP(D307,Products!A:A,Products!B:B,"MISSING")</f>
        <v>T-Shirt</v>
      </c>
    </row>
    <row r="308" spans="1:12">
      <c r="A308" s="1">
        <v>1307</v>
      </c>
      <c r="B308" s="1" t="s">
        <v>374</v>
      </c>
      <c r="C308" s="1" t="s">
        <v>72</v>
      </c>
      <c r="D308" s="1" t="s">
        <v>154</v>
      </c>
      <c r="E308" s="1">
        <v>4</v>
      </c>
      <c r="F308" s="1" t="str">
        <f>_xlfn.XLOOKUP(C308,Customers!A:A,Customers!C:C,"MISSING")</f>
        <v>Pune</v>
      </c>
      <c r="G308" s="1" t="str">
        <f>_xlfn.XLOOKUP(D308,Products!A:A,Products!C:C,"MISSING")</f>
        <v>Clothing</v>
      </c>
      <c r="H308" s="1">
        <f>_xlfn.XLOOKUP(D308,Products!A:A,Products!D:D,"MISSING")</f>
        <v>2500</v>
      </c>
      <c r="I308" s="1" t="str">
        <f t="shared" si="8"/>
        <v>Jan</v>
      </c>
      <c r="J308" s="1">
        <f t="shared" si="9"/>
        <v>10000</v>
      </c>
      <c r="K308" s="1" t="str">
        <f>_xlfn.XLOOKUP(C308,Customers!A:A,Customers!B:B,"MISSING")</f>
        <v>Nitin Joshi</v>
      </c>
      <c r="L308" s="1" t="str">
        <f>_xlfn.XLOOKUP(D308,Products!A:A,Products!B:B,"MISSING")</f>
        <v>Jeans</v>
      </c>
    </row>
    <row r="309" spans="1:12">
      <c r="A309" s="1">
        <v>1308</v>
      </c>
      <c r="B309" s="1" t="s">
        <v>375</v>
      </c>
      <c r="C309" s="1" t="s">
        <v>110</v>
      </c>
      <c r="D309" s="1" t="s">
        <v>142</v>
      </c>
      <c r="E309" s="1">
        <v>3</v>
      </c>
      <c r="F309" s="1" t="str">
        <f>_xlfn.XLOOKUP(C309,Customers!A:A,Customers!C:C,"MISSING")</f>
        <v>Delhi</v>
      </c>
      <c r="G309" s="1" t="str">
        <f>_xlfn.XLOOKUP(D309,Products!A:A,Products!C:C,"MISSING")</f>
        <v>Electronics</v>
      </c>
      <c r="H309" s="1">
        <f>_xlfn.XLOOKUP(D309,Products!A:A,Products!D:D,"MISSING")</f>
        <v>15000</v>
      </c>
      <c r="I309" s="1" t="str">
        <f t="shared" si="8"/>
        <v>Apr</v>
      </c>
      <c r="J309" s="1">
        <f t="shared" si="9"/>
        <v>45000</v>
      </c>
      <c r="K309" s="1" t="str">
        <f>_xlfn.XLOOKUP(C309,Customers!A:A,Customers!B:B,"MISSING")</f>
        <v>Meera Kulkarni</v>
      </c>
      <c r="L309" s="1" t="str">
        <f>_xlfn.XLOOKUP(D309,Products!A:A,Products!B:B,"MISSING")</f>
        <v>Tablet</v>
      </c>
    </row>
    <row r="310" spans="1:12">
      <c r="A310" s="1">
        <v>1309</v>
      </c>
      <c r="B310" s="1" t="s">
        <v>228</v>
      </c>
      <c r="C310" s="1" t="s">
        <v>132</v>
      </c>
      <c r="D310" s="1" t="s">
        <v>142</v>
      </c>
      <c r="E310" s="1">
        <v>2</v>
      </c>
      <c r="F310" s="1" t="str">
        <f>_xlfn.XLOOKUP(C310,Customers!A:A,Customers!C:C,"MISSING")</f>
        <v>Jaipur</v>
      </c>
      <c r="G310" s="1" t="str">
        <f>_xlfn.XLOOKUP(D310,Products!A:A,Products!C:C,"MISSING")</f>
        <v>Electronics</v>
      </c>
      <c r="H310" s="1">
        <f>_xlfn.XLOOKUP(D310,Products!A:A,Products!D:D,"MISSING")</f>
        <v>15000</v>
      </c>
      <c r="I310" s="1" t="str">
        <f t="shared" si="8"/>
        <v>Mar</v>
      </c>
      <c r="J310" s="1">
        <f t="shared" si="9"/>
        <v>30000</v>
      </c>
      <c r="K310" s="1" t="str">
        <f>_xlfn.XLOOKUP(C310,Customers!A:A,Customers!B:B,"MISSING")</f>
        <v>Ravi Patel</v>
      </c>
      <c r="L310" s="1" t="str">
        <f>_xlfn.XLOOKUP(D310,Products!A:A,Products!B:B,"MISSING")</f>
        <v>Tablet</v>
      </c>
    </row>
    <row r="311" spans="1:12">
      <c r="A311" s="1">
        <v>1310</v>
      </c>
      <c r="B311" s="1" t="s">
        <v>376</v>
      </c>
      <c r="C311" s="1" t="s">
        <v>121</v>
      </c>
      <c r="D311" s="1" t="s">
        <v>147</v>
      </c>
      <c r="E311" s="1">
        <v>3</v>
      </c>
      <c r="F311" s="1" t="str">
        <f>_xlfn.XLOOKUP(C311,Customers!A:A,Customers!C:C,"MISSING")</f>
        <v>Bangalore</v>
      </c>
      <c r="G311" s="1" t="str">
        <f>_xlfn.XLOOKUP(D311,Products!A:A,Products!C:C,"MISSING")</f>
        <v>Furniture</v>
      </c>
      <c r="H311" s="1">
        <f>_xlfn.XLOOKUP(D311,Products!A:A,Products!D:D,"MISSING")</f>
        <v>7000</v>
      </c>
      <c r="I311" s="1" t="str">
        <f t="shared" si="8"/>
        <v>Jun</v>
      </c>
      <c r="J311" s="1">
        <f t="shared" si="9"/>
        <v>21000</v>
      </c>
      <c r="K311" s="1" t="str">
        <f>_xlfn.XLOOKUP(C311,Customers!A:A,Customers!B:B,"MISSING")</f>
        <v>Ishita Bose</v>
      </c>
      <c r="L311" s="1" t="str">
        <f>_xlfn.XLOOKUP(D311,Products!A:A,Products!B:B,"MISSING")</f>
        <v>Table</v>
      </c>
    </row>
    <row r="312" spans="1:12">
      <c r="A312" s="1">
        <v>1311</v>
      </c>
      <c r="B312" s="1" t="s">
        <v>165</v>
      </c>
      <c r="C312" s="1" t="s">
        <v>70</v>
      </c>
      <c r="D312" s="1" t="s">
        <v>142</v>
      </c>
      <c r="E312" s="1">
        <v>1</v>
      </c>
      <c r="F312" s="1" t="str">
        <f>_xlfn.XLOOKUP(C312,Customers!A:A,Customers!C:C,"MISSING")</f>
        <v>Delhi</v>
      </c>
      <c r="G312" s="1" t="str">
        <f>_xlfn.XLOOKUP(D312,Products!A:A,Products!C:C,"MISSING")</f>
        <v>Electronics</v>
      </c>
      <c r="H312" s="1">
        <f>_xlfn.XLOOKUP(D312,Products!A:A,Products!D:D,"MISSING")</f>
        <v>15000</v>
      </c>
      <c r="I312" s="1" t="str">
        <f t="shared" si="8"/>
        <v>Dec</v>
      </c>
      <c r="J312" s="1">
        <f t="shared" si="9"/>
        <v>15000</v>
      </c>
      <c r="K312" s="1" t="str">
        <f>_xlfn.XLOOKUP(C312,Customers!A:A,Customers!B:B,"MISSING")</f>
        <v>Amit Verma</v>
      </c>
      <c r="L312" s="1" t="str">
        <f>_xlfn.XLOOKUP(D312,Products!A:A,Products!B:B,"MISSING")</f>
        <v>Tablet</v>
      </c>
    </row>
    <row r="313" spans="1:12">
      <c r="A313" s="1">
        <v>1312</v>
      </c>
      <c r="B313" s="1" t="s">
        <v>377</v>
      </c>
      <c r="C313" s="1" t="s">
        <v>101</v>
      </c>
      <c r="D313" s="1" t="s">
        <v>144</v>
      </c>
      <c r="E313" s="1">
        <v>3</v>
      </c>
      <c r="F313" s="1" t="str">
        <f>_xlfn.XLOOKUP(C313,Customers!A:A,Customers!C:C,"MISSING")</f>
        <v>Chennai</v>
      </c>
      <c r="G313" s="1" t="str">
        <f>_xlfn.XLOOKUP(D313,Products!A:A,Products!C:C,"MISSING")</f>
        <v>Furniture</v>
      </c>
      <c r="H313" s="1">
        <f>_xlfn.XLOOKUP(D313,Products!A:A,Products!D:D,"MISSING")</f>
        <v>3000</v>
      </c>
      <c r="I313" s="1" t="str">
        <f t="shared" si="8"/>
        <v>Jan</v>
      </c>
      <c r="J313" s="1">
        <f t="shared" si="9"/>
        <v>9000</v>
      </c>
      <c r="K313" s="1" t="str">
        <f>_xlfn.XLOOKUP(C313,Customers!A:A,Customers!B:B,"MISSING")</f>
        <v>Rahul Sharma</v>
      </c>
      <c r="L313" s="1" t="str">
        <f>_xlfn.XLOOKUP(D313,Products!A:A,Products!B:B,"MISSING")</f>
        <v>Chair</v>
      </c>
    </row>
    <row r="314" spans="1:12">
      <c r="A314" s="1">
        <v>1313</v>
      </c>
      <c r="B314" s="1" t="s">
        <v>210</v>
      </c>
      <c r="C314" s="1" t="s">
        <v>83</v>
      </c>
      <c r="D314" s="1" t="s">
        <v>158</v>
      </c>
      <c r="E314" s="1">
        <v>5</v>
      </c>
      <c r="F314" s="1" t="str">
        <f>_xlfn.XLOOKUP(C314,Customers!A:A,Customers!C:C,"MISSING")</f>
        <v>Bangalore</v>
      </c>
      <c r="G314" s="1" t="str">
        <f>_xlfn.XLOOKUP(D314,Products!A:A,Products!C:C,"MISSING")</f>
        <v>Clothing</v>
      </c>
      <c r="H314" s="1">
        <f>_xlfn.XLOOKUP(D314,Products!A:A,Products!D:D,"MISSING")</f>
        <v>3500</v>
      </c>
      <c r="I314" s="1" t="str">
        <f t="shared" si="8"/>
        <v>Mar</v>
      </c>
      <c r="J314" s="1">
        <f t="shared" si="9"/>
        <v>17500</v>
      </c>
      <c r="K314" s="1" t="str">
        <f>_xlfn.XLOOKUP(C314,Customers!A:A,Customers!B:B,"MISSING")</f>
        <v>Priya Kapoor</v>
      </c>
      <c r="L314" s="1" t="str">
        <f>_xlfn.XLOOKUP(D314,Products!A:A,Products!B:B,"MISSING")</f>
        <v>Shoes</v>
      </c>
    </row>
    <row r="315" spans="1:12">
      <c r="A315" s="1">
        <v>1314</v>
      </c>
      <c r="B315" s="1" t="s">
        <v>164</v>
      </c>
      <c r="C315" s="1" t="s">
        <v>81</v>
      </c>
      <c r="D315" s="1" t="s">
        <v>156</v>
      </c>
      <c r="E315" s="1">
        <v>4</v>
      </c>
      <c r="F315" s="1" t="str">
        <f>_xlfn.XLOOKUP(C315,Customers!A:A,Customers!C:C,"MISSING")</f>
        <v>Mumbai</v>
      </c>
      <c r="G315" s="1" t="str">
        <f>_xlfn.XLOOKUP(D315,Products!A:A,Products!C:C,"MISSING")</f>
        <v>Clothing</v>
      </c>
      <c r="H315" s="1">
        <f>_xlfn.XLOOKUP(D315,Products!A:A,Products!D:D,"MISSING")</f>
        <v>1800</v>
      </c>
      <c r="I315" s="1" t="str">
        <f t="shared" si="8"/>
        <v>Jan</v>
      </c>
      <c r="J315" s="1">
        <f t="shared" si="9"/>
        <v>7200</v>
      </c>
      <c r="K315" s="1" t="str">
        <f>_xlfn.XLOOKUP(C315,Customers!A:A,Customers!B:B,"MISSING")</f>
        <v>Arjun Malhotra</v>
      </c>
      <c r="L315" s="1" t="str">
        <f>_xlfn.XLOOKUP(D315,Products!A:A,Products!B:B,"MISSING")</f>
        <v>Shirt</v>
      </c>
    </row>
    <row r="316" spans="1:12">
      <c r="A316" s="1">
        <v>1315</v>
      </c>
      <c r="B316" s="1" t="s">
        <v>355</v>
      </c>
      <c r="C316" s="1" t="s">
        <v>58</v>
      </c>
      <c r="D316" s="1" t="s">
        <v>156</v>
      </c>
      <c r="E316" s="1">
        <v>2</v>
      </c>
      <c r="F316" s="1" t="str">
        <f>_xlfn.XLOOKUP(C316,Customers!A:A,Customers!C:C,"MISSING")</f>
        <v>Bangalore</v>
      </c>
      <c r="G316" s="1" t="str">
        <f>_xlfn.XLOOKUP(D316,Products!A:A,Products!C:C,"MISSING")</f>
        <v>Clothing</v>
      </c>
      <c r="H316" s="1">
        <f>_xlfn.XLOOKUP(D316,Products!A:A,Products!D:D,"MISSING")</f>
        <v>1800</v>
      </c>
      <c r="I316" s="1" t="str">
        <f t="shared" si="8"/>
        <v>Sep</v>
      </c>
      <c r="J316" s="1">
        <f t="shared" si="9"/>
        <v>3600</v>
      </c>
      <c r="K316" s="1" t="str">
        <f>_xlfn.XLOOKUP(C316,Customers!A:A,Customers!B:B,"MISSING")</f>
        <v>Rohit Sen</v>
      </c>
      <c r="L316" s="1" t="str">
        <f>_xlfn.XLOOKUP(D316,Products!A:A,Products!B:B,"MISSING")</f>
        <v>Shirt</v>
      </c>
    </row>
    <row r="317" spans="1:12">
      <c r="A317" s="1">
        <v>1316</v>
      </c>
      <c r="B317" s="1" t="s">
        <v>302</v>
      </c>
      <c r="C317" s="1" t="s">
        <v>126</v>
      </c>
      <c r="D317" s="1" t="s">
        <v>149</v>
      </c>
      <c r="E317" s="1">
        <v>2</v>
      </c>
      <c r="F317" s="1" t="str">
        <f>_xlfn.XLOOKUP(C317,Customers!A:A,Customers!C:C,"MISSING")</f>
        <v>Mumbai</v>
      </c>
      <c r="G317" s="1" t="str">
        <f>_xlfn.XLOOKUP(D317,Products!A:A,Products!C:C,"MISSING")</f>
        <v>Furniture</v>
      </c>
      <c r="H317" s="1">
        <f>_xlfn.XLOOKUP(D317,Products!A:A,Products!D:D,"MISSING")</f>
        <v>25000</v>
      </c>
      <c r="I317" s="1" t="str">
        <f t="shared" si="8"/>
        <v>May</v>
      </c>
      <c r="J317" s="1">
        <f t="shared" si="9"/>
        <v>50000</v>
      </c>
      <c r="K317" s="1" t="str">
        <f>_xlfn.XLOOKUP(C317,Customers!A:A,Customers!B:B,"MISSING")</f>
        <v>Sejal Shah</v>
      </c>
      <c r="L317" s="1" t="str">
        <f>_xlfn.XLOOKUP(D317,Products!A:A,Products!B:B,"MISSING")</f>
        <v>Sofa</v>
      </c>
    </row>
    <row r="318" spans="1:12">
      <c r="A318" s="1">
        <v>1317</v>
      </c>
      <c r="B318" s="1" t="s">
        <v>176</v>
      </c>
      <c r="C318" s="1" t="s">
        <v>40</v>
      </c>
      <c r="D318" s="1" t="s">
        <v>149</v>
      </c>
      <c r="E318" s="1">
        <v>2</v>
      </c>
      <c r="F318" s="1" t="str">
        <f>_xlfn.XLOOKUP(C318,Customers!A:A,Customers!C:C,"MISSING")</f>
        <v>Ahmedabad</v>
      </c>
      <c r="G318" s="1" t="str">
        <f>_xlfn.XLOOKUP(D318,Products!A:A,Products!C:C,"MISSING")</f>
        <v>Furniture</v>
      </c>
      <c r="H318" s="1">
        <f>_xlfn.XLOOKUP(D318,Products!A:A,Products!D:D,"MISSING")</f>
        <v>25000</v>
      </c>
      <c r="I318" s="1" t="str">
        <f t="shared" si="8"/>
        <v>May</v>
      </c>
      <c r="J318" s="1">
        <f t="shared" si="9"/>
        <v>50000</v>
      </c>
      <c r="K318" s="1" t="str">
        <f>_xlfn.XLOOKUP(C318,Customers!A:A,Customers!B:B,"MISSING")</f>
        <v>Neha Singh</v>
      </c>
      <c r="L318" s="1" t="str">
        <f>_xlfn.XLOOKUP(D318,Products!A:A,Products!B:B,"MISSING")</f>
        <v>Sofa</v>
      </c>
    </row>
    <row r="319" spans="1:12">
      <c r="A319" s="1">
        <v>1318</v>
      </c>
      <c r="B319" s="1" t="s">
        <v>304</v>
      </c>
      <c r="C319" s="1" t="s">
        <v>19</v>
      </c>
      <c r="D319" s="1" t="s">
        <v>149</v>
      </c>
      <c r="E319" s="1">
        <v>2</v>
      </c>
      <c r="F319" s="1" t="str">
        <f>_xlfn.XLOOKUP(C319,Customers!A:A,Customers!C:C,"MISSING")</f>
        <v>Hyderabad</v>
      </c>
      <c r="G319" s="1" t="str">
        <f>_xlfn.XLOOKUP(D319,Products!A:A,Products!C:C,"MISSING")</f>
        <v>Furniture</v>
      </c>
      <c r="H319" s="1">
        <f>_xlfn.XLOOKUP(D319,Products!A:A,Products!D:D,"MISSING")</f>
        <v>25000</v>
      </c>
      <c r="I319" s="1" t="str">
        <f t="shared" si="8"/>
        <v>May</v>
      </c>
      <c r="J319" s="1">
        <f t="shared" si="9"/>
        <v>50000</v>
      </c>
      <c r="K319" s="1" t="str">
        <f>_xlfn.XLOOKUP(C319,Customers!A:A,Customers!B:B,"MISSING")</f>
        <v>Pooja Jain</v>
      </c>
      <c r="L319" s="1" t="str">
        <f>_xlfn.XLOOKUP(D319,Products!A:A,Products!B:B,"MISSING")</f>
        <v>Sofa</v>
      </c>
    </row>
    <row r="320" spans="1:12">
      <c r="A320" s="1">
        <v>1319</v>
      </c>
      <c r="B320" s="1" t="s">
        <v>378</v>
      </c>
      <c r="C320" s="1" t="s">
        <v>118</v>
      </c>
      <c r="D320" s="1" t="s">
        <v>156</v>
      </c>
      <c r="E320" s="1">
        <v>3</v>
      </c>
      <c r="F320" s="1" t="str">
        <f>_xlfn.XLOOKUP(C320,Customers!A:A,Customers!C:C,"MISSING")</f>
        <v>Hyderabad</v>
      </c>
      <c r="G320" s="1" t="str">
        <f>_xlfn.XLOOKUP(D320,Products!A:A,Products!C:C,"MISSING")</f>
        <v>Clothing</v>
      </c>
      <c r="H320" s="1">
        <f>_xlfn.XLOOKUP(D320,Products!A:A,Products!D:D,"MISSING")</f>
        <v>1800</v>
      </c>
      <c r="I320" s="1" t="str">
        <f t="shared" si="8"/>
        <v>Feb</v>
      </c>
      <c r="J320" s="1">
        <f t="shared" si="9"/>
        <v>5400</v>
      </c>
      <c r="K320" s="1" t="str">
        <f>_xlfn.XLOOKUP(C320,Customers!A:A,Customers!B:B,"MISSING")</f>
        <v>Riya Das</v>
      </c>
      <c r="L320" s="1" t="str">
        <f>_xlfn.XLOOKUP(D320,Products!A:A,Products!B:B,"MISSING")</f>
        <v>Shirt</v>
      </c>
    </row>
    <row r="321" spans="1:12">
      <c r="A321" s="1">
        <v>1320</v>
      </c>
      <c r="B321" s="1" t="s">
        <v>379</v>
      </c>
      <c r="C321" s="1" t="s">
        <v>92</v>
      </c>
      <c r="D321" s="1" t="s">
        <v>158</v>
      </c>
      <c r="E321" s="1">
        <v>1</v>
      </c>
      <c r="F321" s="1" t="str">
        <f>_xlfn.XLOOKUP(C321,Customers!A:A,Customers!C:C,"MISSING")</f>
        <v>Lucknow</v>
      </c>
      <c r="G321" s="1" t="str">
        <f>_xlfn.XLOOKUP(D321,Products!A:A,Products!C:C,"MISSING")</f>
        <v>Clothing</v>
      </c>
      <c r="H321" s="1">
        <f>_xlfn.XLOOKUP(D321,Products!A:A,Products!D:D,"MISSING")</f>
        <v>3500</v>
      </c>
      <c r="I321" s="1" t="str">
        <f t="shared" si="8"/>
        <v>Aug</v>
      </c>
      <c r="J321" s="1">
        <f t="shared" si="9"/>
        <v>3500</v>
      </c>
      <c r="K321" s="1" t="str">
        <f>_xlfn.XLOOKUP(C321,Customers!A:A,Customers!B:B,"MISSING")</f>
        <v>Rohit Sen</v>
      </c>
      <c r="L321" s="1" t="str">
        <f>_xlfn.XLOOKUP(D321,Products!A:A,Products!B:B,"MISSING")</f>
        <v>Shoes</v>
      </c>
    </row>
    <row r="322" spans="1:12">
      <c r="A322" s="1">
        <v>1321</v>
      </c>
      <c r="B322" s="1" t="s">
        <v>380</v>
      </c>
      <c r="C322" s="1" t="s">
        <v>124</v>
      </c>
      <c r="D322" s="1" t="s">
        <v>142</v>
      </c>
      <c r="E322" s="1">
        <v>2</v>
      </c>
      <c r="F322" s="1" t="str">
        <f>_xlfn.XLOOKUP(C322,Customers!A:A,Customers!C:C,"MISSING")</f>
        <v>Lucknow</v>
      </c>
      <c r="G322" s="1" t="str">
        <f>_xlfn.XLOOKUP(D322,Products!A:A,Products!C:C,"MISSING")</f>
        <v>Electronics</v>
      </c>
      <c r="H322" s="1">
        <f>_xlfn.XLOOKUP(D322,Products!A:A,Products!D:D,"MISSING")</f>
        <v>15000</v>
      </c>
      <c r="I322" s="1" t="str">
        <f t="shared" si="8"/>
        <v>Sep</v>
      </c>
      <c r="J322" s="1">
        <f t="shared" si="9"/>
        <v>30000</v>
      </c>
      <c r="K322" s="1" t="str">
        <f>_xlfn.XLOOKUP(C322,Customers!A:A,Customers!B:B,"MISSING")</f>
        <v>Tanya Sethi</v>
      </c>
      <c r="L322" s="1" t="str">
        <f>_xlfn.XLOOKUP(D322,Products!A:A,Products!B:B,"MISSING")</f>
        <v>Tablet</v>
      </c>
    </row>
    <row r="323" spans="1:12">
      <c r="A323" s="1">
        <v>1322</v>
      </c>
      <c r="B323" s="1" t="s">
        <v>381</v>
      </c>
      <c r="C323" s="1" t="s">
        <v>124</v>
      </c>
      <c r="D323" s="1" t="s">
        <v>158</v>
      </c>
      <c r="E323" s="1">
        <v>2</v>
      </c>
      <c r="F323" s="1" t="str">
        <f>_xlfn.XLOOKUP(C323,Customers!A:A,Customers!C:C,"MISSING")</f>
        <v>Lucknow</v>
      </c>
      <c r="G323" s="1" t="str">
        <f>_xlfn.XLOOKUP(D323,Products!A:A,Products!C:C,"MISSING")</f>
        <v>Clothing</v>
      </c>
      <c r="H323" s="1">
        <f>_xlfn.XLOOKUP(D323,Products!A:A,Products!D:D,"MISSING")</f>
        <v>3500</v>
      </c>
      <c r="I323" s="1" t="str">
        <f t="shared" ref="I323:I386" si="10">TEXT(B323,"mmm")</f>
        <v>Jan</v>
      </c>
      <c r="J323" s="1">
        <f t="shared" ref="J323:J386" si="11">E323*H323</f>
        <v>7000</v>
      </c>
      <c r="K323" s="1" t="str">
        <f>_xlfn.XLOOKUP(C323,Customers!A:A,Customers!B:B,"MISSING")</f>
        <v>Tanya Sethi</v>
      </c>
      <c r="L323" s="1" t="str">
        <f>_xlfn.XLOOKUP(D323,Products!A:A,Products!B:B,"MISSING")</f>
        <v>Shoes</v>
      </c>
    </row>
    <row r="324" spans="1:12">
      <c r="A324" s="1">
        <v>1323</v>
      </c>
      <c r="B324" s="1" t="s">
        <v>382</v>
      </c>
      <c r="C324" s="1" t="s">
        <v>76</v>
      </c>
      <c r="D324" s="1" t="s">
        <v>158</v>
      </c>
      <c r="E324" s="1">
        <v>3</v>
      </c>
      <c r="F324" s="1" t="str">
        <f>_xlfn.XLOOKUP(C324,Customers!A:A,Customers!C:C,"MISSING")</f>
        <v>Ahmedabad</v>
      </c>
      <c r="G324" s="1" t="str">
        <f>_xlfn.XLOOKUP(D324,Products!A:A,Products!C:C,"MISSING")</f>
        <v>Clothing</v>
      </c>
      <c r="H324" s="1">
        <f>_xlfn.XLOOKUP(D324,Products!A:A,Products!D:D,"MISSING")</f>
        <v>3500</v>
      </c>
      <c r="I324" s="1" t="str">
        <f t="shared" si="10"/>
        <v>Feb</v>
      </c>
      <c r="J324" s="1">
        <f t="shared" si="11"/>
        <v>10500</v>
      </c>
      <c r="K324" s="1" t="str">
        <f>_xlfn.XLOOKUP(C324,Customers!A:A,Customers!B:B,"MISSING")</f>
        <v>Riya Das</v>
      </c>
      <c r="L324" s="1" t="str">
        <f>_xlfn.XLOOKUP(D324,Products!A:A,Products!B:B,"MISSING")</f>
        <v>Shoes</v>
      </c>
    </row>
    <row r="325" spans="1:12">
      <c r="A325" s="1">
        <v>1324</v>
      </c>
      <c r="B325" s="1" t="s">
        <v>216</v>
      </c>
      <c r="C325" s="1" t="s">
        <v>100</v>
      </c>
      <c r="D325" s="1" t="s">
        <v>154</v>
      </c>
      <c r="E325" s="1">
        <v>2</v>
      </c>
      <c r="F325" s="1" t="str">
        <f>_xlfn.XLOOKUP(C325,Customers!A:A,Customers!C:C,"MISSING")</f>
        <v>Ahmedabad</v>
      </c>
      <c r="G325" s="1" t="str">
        <f>_xlfn.XLOOKUP(D325,Products!A:A,Products!C:C,"MISSING")</f>
        <v>Clothing</v>
      </c>
      <c r="H325" s="1">
        <f>_xlfn.XLOOKUP(D325,Products!A:A,Products!D:D,"MISSING")</f>
        <v>2500</v>
      </c>
      <c r="I325" s="1" t="str">
        <f t="shared" si="10"/>
        <v>Feb</v>
      </c>
      <c r="J325" s="1">
        <f t="shared" si="11"/>
        <v>5000</v>
      </c>
      <c r="K325" s="1" t="str">
        <f>_xlfn.XLOOKUP(C325,Customers!A:A,Customers!B:B,"MISSING")</f>
        <v>Vikas Nair</v>
      </c>
      <c r="L325" s="1" t="str">
        <f>_xlfn.XLOOKUP(D325,Products!A:A,Products!B:B,"MISSING")</f>
        <v>Jeans</v>
      </c>
    </row>
    <row r="326" spans="1:12">
      <c r="A326" s="1">
        <v>1325</v>
      </c>
      <c r="B326" s="1" t="s">
        <v>213</v>
      </c>
      <c r="C326" s="1" t="s">
        <v>44</v>
      </c>
      <c r="D326" s="1" t="s">
        <v>140</v>
      </c>
      <c r="E326" s="1">
        <v>3</v>
      </c>
      <c r="F326" s="1" t="str">
        <f>_xlfn.XLOOKUP(C326,Customers!A:A,Customers!C:C,"MISSING")</f>
        <v>Lucknow</v>
      </c>
      <c r="G326" s="1" t="str">
        <f>_xlfn.XLOOKUP(D326,Products!A:A,Products!C:C,"MISSING")</f>
        <v>Electronics</v>
      </c>
      <c r="H326" s="1">
        <f>_xlfn.XLOOKUP(D326,Products!A:A,Products!D:D,"MISSING")</f>
        <v>20000</v>
      </c>
      <c r="I326" s="1" t="str">
        <f t="shared" si="10"/>
        <v>Oct</v>
      </c>
      <c r="J326" s="1">
        <f t="shared" si="11"/>
        <v>60000</v>
      </c>
      <c r="K326" s="1" t="str">
        <f>_xlfn.XLOOKUP(C326,Customers!A:A,Customers!B:B,"MISSING")</f>
        <v>Nitin Joshi</v>
      </c>
      <c r="L326" s="1" t="str">
        <f>_xlfn.XLOOKUP(D326,Products!A:A,Products!B:B,"MISSING")</f>
        <v>Mobile</v>
      </c>
    </row>
    <row r="327" spans="1:12">
      <c r="A327" s="1">
        <v>1326</v>
      </c>
      <c r="B327" s="1" t="s">
        <v>233</v>
      </c>
      <c r="C327" s="1" t="s">
        <v>60</v>
      </c>
      <c r="D327" s="1" t="s">
        <v>154</v>
      </c>
      <c r="E327" s="1">
        <v>2</v>
      </c>
      <c r="F327" s="1" t="str">
        <f>_xlfn.XLOOKUP(C327,Customers!A:A,Customers!C:C,"MISSING")</f>
        <v>Delhi</v>
      </c>
      <c r="G327" s="1" t="str">
        <f>_xlfn.XLOOKUP(D327,Products!A:A,Products!C:C,"MISSING")</f>
        <v>Clothing</v>
      </c>
      <c r="H327" s="1">
        <f>_xlfn.XLOOKUP(D327,Products!A:A,Products!D:D,"MISSING")</f>
        <v>2500</v>
      </c>
      <c r="I327" s="1" t="str">
        <f t="shared" si="10"/>
        <v>May</v>
      </c>
      <c r="J327" s="1">
        <f t="shared" si="11"/>
        <v>5000</v>
      </c>
      <c r="K327" s="1" t="str">
        <f>_xlfn.XLOOKUP(C327,Customers!A:A,Customers!B:B,"MISSING")</f>
        <v>Amit Verma</v>
      </c>
      <c r="L327" s="1" t="str">
        <f>_xlfn.XLOOKUP(D327,Products!A:A,Products!B:B,"MISSING")</f>
        <v>Jeans</v>
      </c>
    </row>
    <row r="328" spans="1:12">
      <c r="A328" s="1">
        <v>1327</v>
      </c>
      <c r="B328" s="1" t="s">
        <v>338</v>
      </c>
      <c r="C328" s="1" t="s">
        <v>40</v>
      </c>
      <c r="D328" s="1" t="s">
        <v>142</v>
      </c>
      <c r="E328" s="1">
        <v>4</v>
      </c>
      <c r="F328" s="1" t="str">
        <f>_xlfn.XLOOKUP(C328,Customers!A:A,Customers!C:C,"MISSING")</f>
        <v>Ahmedabad</v>
      </c>
      <c r="G328" s="1" t="str">
        <f>_xlfn.XLOOKUP(D328,Products!A:A,Products!C:C,"MISSING")</f>
        <v>Electronics</v>
      </c>
      <c r="H328" s="1">
        <f>_xlfn.XLOOKUP(D328,Products!A:A,Products!D:D,"MISSING")</f>
        <v>15000</v>
      </c>
      <c r="I328" s="1" t="str">
        <f t="shared" si="10"/>
        <v>Aug</v>
      </c>
      <c r="J328" s="1">
        <f t="shared" si="11"/>
        <v>60000</v>
      </c>
      <c r="K328" s="1" t="str">
        <f>_xlfn.XLOOKUP(C328,Customers!A:A,Customers!B:B,"MISSING")</f>
        <v>Neha Singh</v>
      </c>
      <c r="L328" s="1" t="str">
        <f>_xlfn.XLOOKUP(D328,Products!A:A,Products!B:B,"MISSING")</f>
        <v>Tablet</v>
      </c>
    </row>
    <row r="329" spans="1:12">
      <c r="A329" s="1">
        <v>1328</v>
      </c>
      <c r="B329" s="1" t="s">
        <v>383</v>
      </c>
      <c r="C329" s="1" t="s">
        <v>117</v>
      </c>
      <c r="D329" s="1" t="s">
        <v>147</v>
      </c>
      <c r="E329" s="1">
        <v>2</v>
      </c>
      <c r="F329" s="1" t="str">
        <f>_xlfn.XLOOKUP(C329,Customers!A:A,Customers!C:C,"MISSING")</f>
        <v>Kolkata</v>
      </c>
      <c r="G329" s="1" t="str">
        <f>_xlfn.XLOOKUP(D329,Products!A:A,Products!C:C,"MISSING")</f>
        <v>Furniture</v>
      </c>
      <c r="H329" s="1">
        <f>_xlfn.XLOOKUP(D329,Products!A:A,Products!D:D,"MISSING")</f>
        <v>7000</v>
      </c>
      <c r="I329" s="1" t="str">
        <f t="shared" si="10"/>
        <v>Dec</v>
      </c>
      <c r="J329" s="1">
        <f t="shared" si="11"/>
        <v>14000</v>
      </c>
      <c r="K329" s="1" t="str">
        <f>_xlfn.XLOOKUP(C329,Customers!A:A,Customers!B:B,"MISSING")</f>
        <v>Tanya Sethi</v>
      </c>
      <c r="L329" s="1" t="str">
        <f>_xlfn.XLOOKUP(D329,Products!A:A,Products!B:B,"MISSING")</f>
        <v>Table</v>
      </c>
    </row>
    <row r="330" spans="1:12">
      <c r="A330" s="1">
        <v>1329</v>
      </c>
      <c r="B330" s="1" t="s">
        <v>166</v>
      </c>
      <c r="C330" s="1" t="s">
        <v>84</v>
      </c>
      <c r="D330" s="1" t="s">
        <v>147</v>
      </c>
      <c r="E330" s="1">
        <v>5</v>
      </c>
      <c r="F330" s="1" t="str">
        <f>_xlfn.XLOOKUP(C330,Customers!A:A,Customers!C:C,"MISSING")</f>
        <v>Mumbai</v>
      </c>
      <c r="G330" s="1" t="str">
        <f>_xlfn.XLOOKUP(D330,Products!A:A,Products!C:C,"MISSING")</f>
        <v>Furniture</v>
      </c>
      <c r="H330" s="1">
        <f>_xlfn.XLOOKUP(D330,Products!A:A,Products!D:D,"MISSING")</f>
        <v>7000</v>
      </c>
      <c r="I330" s="1" t="str">
        <f t="shared" si="10"/>
        <v>May</v>
      </c>
      <c r="J330" s="1">
        <f t="shared" si="11"/>
        <v>35000</v>
      </c>
      <c r="K330" s="1" t="str">
        <f>_xlfn.XLOOKUP(C330,Customers!A:A,Customers!B:B,"MISSING")</f>
        <v>Manav Arora</v>
      </c>
      <c r="L330" s="1" t="str">
        <f>_xlfn.XLOOKUP(D330,Products!A:A,Products!B:B,"MISSING")</f>
        <v>Table</v>
      </c>
    </row>
    <row r="331" spans="1:12">
      <c r="A331" s="1">
        <v>1330</v>
      </c>
      <c r="B331" s="1" t="s">
        <v>384</v>
      </c>
      <c r="C331" s="1" t="s">
        <v>79</v>
      </c>
      <c r="D331" s="1" t="s">
        <v>142</v>
      </c>
      <c r="E331" s="1">
        <v>2</v>
      </c>
      <c r="F331" s="1" t="str">
        <f>_xlfn.XLOOKUP(C331,Customers!A:A,Customers!C:C,"MISSING")</f>
        <v>Lucknow</v>
      </c>
      <c r="G331" s="1" t="str">
        <f>_xlfn.XLOOKUP(D331,Products!A:A,Products!C:C,"MISSING")</f>
        <v>Electronics</v>
      </c>
      <c r="H331" s="1">
        <f>_xlfn.XLOOKUP(D331,Products!A:A,Products!D:D,"MISSING")</f>
        <v>15000</v>
      </c>
      <c r="I331" s="1" t="str">
        <f t="shared" si="10"/>
        <v>Oct</v>
      </c>
      <c r="J331" s="1">
        <f t="shared" si="11"/>
        <v>30000</v>
      </c>
      <c r="K331" s="1" t="str">
        <f>_xlfn.XLOOKUP(C331,Customers!A:A,Customers!B:B,"MISSING")</f>
        <v>Rahul Sharma</v>
      </c>
      <c r="L331" s="1" t="str">
        <f>_xlfn.XLOOKUP(D331,Products!A:A,Products!B:B,"MISSING")</f>
        <v>Tablet</v>
      </c>
    </row>
    <row r="332" spans="1:12">
      <c r="A332" s="1">
        <v>1331</v>
      </c>
      <c r="B332" s="1" t="s">
        <v>385</v>
      </c>
      <c r="C332" s="1" t="s">
        <v>67</v>
      </c>
      <c r="D332" s="1" t="s">
        <v>156</v>
      </c>
      <c r="E332" s="1">
        <v>2</v>
      </c>
      <c r="F332" s="1" t="str">
        <f>_xlfn.XLOOKUP(C332,Customers!A:A,Customers!C:C,"MISSING")</f>
        <v>Mumbai</v>
      </c>
      <c r="G332" s="1" t="str">
        <f>_xlfn.XLOOKUP(D332,Products!A:A,Products!C:C,"MISSING")</f>
        <v>Clothing</v>
      </c>
      <c r="H332" s="1">
        <f>_xlfn.XLOOKUP(D332,Products!A:A,Products!D:D,"MISSING")</f>
        <v>1800</v>
      </c>
      <c r="I332" s="1" t="str">
        <f t="shared" si="10"/>
        <v>Dec</v>
      </c>
      <c r="J332" s="1">
        <f t="shared" si="11"/>
        <v>3600</v>
      </c>
      <c r="K332" s="1" t="str">
        <f>_xlfn.XLOOKUP(C332,Customers!A:A,Customers!B:B,"MISSING")</f>
        <v>Nitin Joshi</v>
      </c>
      <c r="L332" s="1" t="str">
        <f>_xlfn.XLOOKUP(D332,Products!A:A,Products!B:B,"MISSING")</f>
        <v>Shirt</v>
      </c>
    </row>
    <row r="333" spans="1:12">
      <c r="A333" s="1">
        <v>1332</v>
      </c>
      <c r="B333" s="1" t="s">
        <v>386</v>
      </c>
      <c r="C333" s="1" t="s">
        <v>90</v>
      </c>
      <c r="D333" s="1" t="s">
        <v>156</v>
      </c>
      <c r="E333" s="1">
        <v>2</v>
      </c>
      <c r="F333" s="1" t="str">
        <f>_xlfn.XLOOKUP(C333,Customers!A:A,Customers!C:C,"MISSING")</f>
        <v>Mumbai</v>
      </c>
      <c r="G333" s="1" t="str">
        <f>_xlfn.XLOOKUP(D333,Products!A:A,Products!C:C,"MISSING")</f>
        <v>Clothing</v>
      </c>
      <c r="H333" s="1">
        <f>_xlfn.XLOOKUP(D333,Products!A:A,Products!D:D,"MISSING")</f>
        <v>1800</v>
      </c>
      <c r="I333" s="1" t="str">
        <f t="shared" si="10"/>
        <v>Jun</v>
      </c>
      <c r="J333" s="1">
        <f t="shared" si="11"/>
        <v>3600</v>
      </c>
      <c r="K333" s="1" t="str">
        <f>_xlfn.XLOOKUP(C333,Customers!A:A,Customers!B:B,"MISSING")</f>
        <v>Karan Mehta</v>
      </c>
      <c r="L333" s="1" t="str">
        <f>_xlfn.XLOOKUP(D333,Products!A:A,Products!B:B,"MISSING")</f>
        <v>Shirt</v>
      </c>
    </row>
    <row r="334" spans="1:12">
      <c r="A334" s="1">
        <v>1333</v>
      </c>
      <c r="B334" s="1" t="s">
        <v>304</v>
      </c>
      <c r="C334" s="1" t="s">
        <v>118</v>
      </c>
      <c r="D334" s="1" t="s">
        <v>156</v>
      </c>
      <c r="E334" s="1">
        <v>3</v>
      </c>
      <c r="F334" s="1" t="str">
        <f>_xlfn.XLOOKUP(C334,Customers!A:A,Customers!C:C,"MISSING")</f>
        <v>Hyderabad</v>
      </c>
      <c r="G334" s="1" t="str">
        <f>_xlfn.XLOOKUP(D334,Products!A:A,Products!C:C,"MISSING")</f>
        <v>Clothing</v>
      </c>
      <c r="H334" s="1">
        <f>_xlfn.XLOOKUP(D334,Products!A:A,Products!D:D,"MISSING")</f>
        <v>1800</v>
      </c>
      <c r="I334" s="1" t="str">
        <f t="shared" si="10"/>
        <v>May</v>
      </c>
      <c r="J334" s="1">
        <f t="shared" si="11"/>
        <v>5400</v>
      </c>
      <c r="K334" s="1" t="str">
        <f>_xlfn.XLOOKUP(C334,Customers!A:A,Customers!B:B,"MISSING")</f>
        <v>Riya Das</v>
      </c>
      <c r="L334" s="1" t="str">
        <f>_xlfn.XLOOKUP(D334,Products!A:A,Products!B:B,"MISSING")</f>
        <v>Shirt</v>
      </c>
    </row>
    <row r="335" spans="1:12">
      <c r="A335" s="1">
        <v>1334</v>
      </c>
      <c r="B335" s="1" t="s">
        <v>387</v>
      </c>
      <c r="C335" s="1" t="s">
        <v>9</v>
      </c>
      <c r="D335" s="1" t="s">
        <v>142</v>
      </c>
      <c r="E335" s="1">
        <v>4</v>
      </c>
      <c r="F335" s="1" t="str">
        <f>_xlfn.XLOOKUP(C335,Customers!A:A,Customers!C:C,"MISSING")</f>
        <v>Jaipur</v>
      </c>
      <c r="G335" s="1" t="str">
        <f>_xlfn.XLOOKUP(D335,Products!A:A,Products!C:C,"MISSING")</f>
        <v>Electronics</v>
      </c>
      <c r="H335" s="1">
        <f>_xlfn.XLOOKUP(D335,Products!A:A,Products!D:D,"MISSING")</f>
        <v>15000</v>
      </c>
      <c r="I335" s="1" t="str">
        <f t="shared" si="10"/>
        <v>Nov</v>
      </c>
      <c r="J335" s="1">
        <f t="shared" si="11"/>
        <v>60000</v>
      </c>
      <c r="K335" s="1" t="str">
        <f>_xlfn.XLOOKUP(C335,Customers!A:A,Customers!B:B,"MISSING")</f>
        <v>Priya Kapoor</v>
      </c>
      <c r="L335" s="1" t="str">
        <f>_xlfn.XLOOKUP(D335,Products!A:A,Products!B:B,"MISSING")</f>
        <v>Tablet</v>
      </c>
    </row>
    <row r="336" spans="1:12">
      <c r="A336" s="1">
        <v>1335</v>
      </c>
      <c r="B336" s="1" t="s">
        <v>388</v>
      </c>
      <c r="C336" s="1" t="s">
        <v>110</v>
      </c>
      <c r="D336" s="1" t="s">
        <v>144</v>
      </c>
      <c r="E336" s="1">
        <v>1</v>
      </c>
      <c r="F336" s="1" t="str">
        <f>_xlfn.XLOOKUP(C336,Customers!A:A,Customers!C:C,"MISSING")</f>
        <v>Delhi</v>
      </c>
      <c r="G336" s="1" t="str">
        <f>_xlfn.XLOOKUP(D336,Products!A:A,Products!C:C,"MISSING")</f>
        <v>Furniture</v>
      </c>
      <c r="H336" s="1">
        <f>_xlfn.XLOOKUP(D336,Products!A:A,Products!D:D,"MISSING")</f>
        <v>3000</v>
      </c>
      <c r="I336" s="1" t="str">
        <f t="shared" si="10"/>
        <v>Oct</v>
      </c>
      <c r="J336" s="1">
        <f t="shared" si="11"/>
        <v>3000</v>
      </c>
      <c r="K336" s="1" t="str">
        <f>_xlfn.XLOOKUP(C336,Customers!A:A,Customers!B:B,"MISSING")</f>
        <v>Meera Kulkarni</v>
      </c>
      <c r="L336" s="1" t="str">
        <f>_xlfn.XLOOKUP(D336,Products!A:A,Products!B:B,"MISSING")</f>
        <v>Chair</v>
      </c>
    </row>
    <row r="337" spans="1:12">
      <c r="A337" s="1">
        <v>1336</v>
      </c>
      <c r="B337" s="1" t="s">
        <v>296</v>
      </c>
      <c r="C337" s="1" t="s">
        <v>112</v>
      </c>
      <c r="D337" s="1" t="s">
        <v>144</v>
      </c>
      <c r="E337" s="1">
        <v>5</v>
      </c>
      <c r="F337" s="1" t="str">
        <f>_xlfn.XLOOKUP(C337,Customers!A:A,Customers!C:C,"MISSING")</f>
        <v>Lucknow</v>
      </c>
      <c r="G337" s="1" t="str">
        <f>_xlfn.XLOOKUP(D337,Products!A:A,Products!C:C,"MISSING")</f>
        <v>Furniture</v>
      </c>
      <c r="H337" s="1">
        <f>_xlfn.XLOOKUP(D337,Products!A:A,Products!D:D,"MISSING")</f>
        <v>3000</v>
      </c>
      <c r="I337" s="1" t="str">
        <f t="shared" si="10"/>
        <v>Jan</v>
      </c>
      <c r="J337" s="1">
        <f t="shared" si="11"/>
        <v>15000</v>
      </c>
      <c r="K337" s="1" t="str">
        <f>_xlfn.XLOOKUP(C337,Customers!A:A,Customers!B:B,"MISSING")</f>
        <v>Manav Arora</v>
      </c>
      <c r="L337" s="1" t="str">
        <f>_xlfn.XLOOKUP(D337,Products!A:A,Products!B:B,"MISSING")</f>
        <v>Chair</v>
      </c>
    </row>
    <row r="338" spans="1:12">
      <c r="A338" s="1">
        <v>1337</v>
      </c>
      <c r="B338" s="1" t="s">
        <v>176</v>
      </c>
      <c r="C338" s="1" t="s">
        <v>127</v>
      </c>
      <c r="D338" s="1" t="s">
        <v>142</v>
      </c>
      <c r="E338" s="1">
        <v>5</v>
      </c>
      <c r="F338" s="1" t="str">
        <f>_xlfn.XLOOKUP(C338,Customers!A:A,Customers!C:C,"MISSING")</f>
        <v>Pune</v>
      </c>
      <c r="G338" s="1" t="str">
        <f>_xlfn.XLOOKUP(D338,Products!A:A,Products!C:C,"MISSING")</f>
        <v>Electronics</v>
      </c>
      <c r="H338" s="1">
        <f>_xlfn.XLOOKUP(D338,Products!A:A,Products!D:D,"MISSING")</f>
        <v>15000</v>
      </c>
      <c r="I338" s="1" t="str">
        <f t="shared" si="10"/>
        <v>May</v>
      </c>
      <c r="J338" s="1">
        <f t="shared" si="11"/>
        <v>75000</v>
      </c>
      <c r="K338" s="1" t="str">
        <f>_xlfn.XLOOKUP(C338,Customers!A:A,Customers!B:B,"MISSING")</f>
        <v>Ravi Patel</v>
      </c>
      <c r="L338" s="1" t="str">
        <f>_xlfn.XLOOKUP(D338,Products!A:A,Products!B:B,"MISSING")</f>
        <v>Tablet</v>
      </c>
    </row>
    <row r="339" spans="1:12">
      <c r="A339" s="1">
        <v>1338</v>
      </c>
      <c r="B339" s="1" t="s">
        <v>389</v>
      </c>
      <c r="C339" s="1" t="s">
        <v>102</v>
      </c>
      <c r="D339" s="1" t="s">
        <v>154</v>
      </c>
      <c r="E339" s="1">
        <v>3</v>
      </c>
      <c r="F339" s="1" t="str">
        <f>_xlfn.XLOOKUP(C339,Customers!A:A,Customers!C:C,"MISSING")</f>
        <v>Lucknow</v>
      </c>
      <c r="G339" s="1" t="str">
        <f>_xlfn.XLOOKUP(D339,Products!A:A,Products!C:C,"MISSING")</f>
        <v>Clothing</v>
      </c>
      <c r="H339" s="1">
        <f>_xlfn.XLOOKUP(D339,Products!A:A,Products!D:D,"MISSING")</f>
        <v>2500</v>
      </c>
      <c r="I339" s="1" t="str">
        <f t="shared" si="10"/>
        <v>Jan</v>
      </c>
      <c r="J339" s="1">
        <f t="shared" si="11"/>
        <v>7500</v>
      </c>
      <c r="K339" s="1" t="str">
        <f>_xlfn.XLOOKUP(C339,Customers!A:A,Customers!B:B,"MISSING")</f>
        <v>Manav Arora</v>
      </c>
      <c r="L339" s="1" t="str">
        <f>_xlfn.XLOOKUP(D339,Products!A:A,Products!B:B,"MISSING")</f>
        <v>Jeans</v>
      </c>
    </row>
    <row r="340" spans="1:12">
      <c r="A340" s="1">
        <v>1339</v>
      </c>
      <c r="B340" s="1" t="s">
        <v>390</v>
      </c>
      <c r="C340" s="1" t="s">
        <v>119</v>
      </c>
      <c r="D340" s="1" t="s">
        <v>140</v>
      </c>
      <c r="E340" s="1">
        <v>4</v>
      </c>
      <c r="F340" s="1" t="str">
        <f>_xlfn.XLOOKUP(C340,Customers!A:A,Customers!C:C,"MISSING")</f>
        <v>Delhi</v>
      </c>
      <c r="G340" s="1" t="str">
        <f>_xlfn.XLOOKUP(D340,Products!A:A,Products!C:C,"MISSING")</f>
        <v>Electronics</v>
      </c>
      <c r="H340" s="1">
        <f>_xlfn.XLOOKUP(D340,Products!A:A,Products!D:D,"MISSING")</f>
        <v>20000</v>
      </c>
      <c r="I340" s="1" t="str">
        <f t="shared" si="10"/>
        <v>Apr</v>
      </c>
      <c r="J340" s="1">
        <f t="shared" si="11"/>
        <v>80000</v>
      </c>
      <c r="K340" s="1" t="str">
        <f>_xlfn.XLOOKUP(C340,Customers!A:A,Customers!B:B,"MISSING")</f>
        <v>Arjun Malhotra</v>
      </c>
      <c r="L340" s="1" t="str">
        <f>_xlfn.XLOOKUP(D340,Products!A:A,Products!B:B,"MISSING")</f>
        <v>Mobile</v>
      </c>
    </row>
    <row r="341" spans="1:12">
      <c r="A341" s="1">
        <v>1340</v>
      </c>
      <c r="B341" s="1" t="s">
        <v>302</v>
      </c>
      <c r="C341" s="1" t="s">
        <v>29</v>
      </c>
      <c r="D341" s="1" t="s">
        <v>156</v>
      </c>
      <c r="E341" s="1">
        <v>5</v>
      </c>
      <c r="F341" s="1" t="str">
        <f>_xlfn.XLOOKUP(C341,Customers!A:A,Customers!C:C,"MISSING")</f>
        <v>Chennai</v>
      </c>
      <c r="G341" s="1" t="str">
        <f>_xlfn.XLOOKUP(D341,Products!A:A,Products!C:C,"MISSING")</f>
        <v>Clothing</v>
      </c>
      <c r="H341" s="1">
        <f>_xlfn.XLOOKUP(D341,Products!A:A,Products!D:D,"MISSING")</f>
        <v>1800</v>
      </c>
      <c r="I341" s="1" t="str">
        <f t="shared" si="10"/>
        <v>May</v>
      </c>
      <c r="J341" s="1">
        <f t="shared" si="11"/>
        <v>9000</v>
      </c>
      <c r="K341" s="1" t="str">
        <f>_xlfn.XLOOKUP(C341,Customers!A:A,Customers!B:B,"MISSING")</f>
        <v>Sejal Shah</v>
      </c>
      <c r="L341" s="1" t="str">
        <f>_xlfn.XLOOKUP(D341,Products!A:A,Products!B:B,"MISSING")</f>
        <v>Shirt</v>
      </c>
    </row>
    <row r="342" spans="1:12">
      <c r="A342" s="1">
        <v>1341</v>
      </c>
      <c r="B342" s="1" t="s">
        <v>163</v>
      </c>
      <c r="C342" s="1" t="s">
        <v>130</v>
      </c>
      <c r="D342" s="1" t="s">
        <v>137</v>
      </c>
      <c r="E342" s="1">
        <v>1</v>
      </c>
      <c r="F342" s="1" t="str">
        <f>_xlfn.XLOOKUP(C342,Customers!A:A,Customers!C:C,"MISSING")</f>
        <v>Mumbai</v>
      </c>
      <c r="G342" s="1" t="str">
        <f>_xlfn.XLOOKUP(D342,Products!A:A,Products!C:C,"MISSING")</f>
        <v>Electronics</v>
      </c>
      <c r="H342" s="1">
        <f>_xlfn.XLOOKUP(D342,Products!A:A,Products!D:D,"MISSING")</f>
        <v>50000</v>
      </c>
      <c r="I342" s="1" t="str">
        <f t="shared" si="10"/>
        <v>Nov</v>
      </c>
      <c r="J342" s="1">
        <f t="shared" si="11"/>
        <v>50000</v>
      </c>
      <c r="K342" s="1" t="str">
        <f>_xlfn.XLOOKUP(C342,Customers!A:A,Customers!B:B,"MISSING")</f>
        <v>Karan Mehta</v>
      </c>
      <c r="L342" s="1" t="str">
        <f>_xlfn.XLOOKUP(D342,Products!A:A,Products!B:B,"MISSING")</f>
        <v>Laptop</v>
      </c>
    </row>
    <row r="343" spans="1:12">
      <c r="A343" s="1">
        <v>1342</v>
      </c>
      <c r="B343" s="1" t="s">
        <v>391</v>
      </c>
      <c r="C343" s="1" t="s">
        <v>11</v>
      </c>
      <c r="D343" s="1" t="s">
        <v>154</v>
      </c>
      <c r="E343" s="1">
        <v>5</v>
      </c>
      <c r="F343" s="1" t="str">
        <f>_xlfn.XLOOKUP(C343,Customers!A:A,Customers!C:C,"MISSING")</f>
        <v>Chennai</v>
      </c>
      <c r="G343" s="1" t="str">
        <f>_xlfn.XLOOKUP(D343,Products!A:A,Products!C:C,"MISSING")</f>
        <v>Clothing</v>
      </c>
      <c r="H343" s="1">
        <f>_xlfn.XLOOKUP(D343,Products!A:A,Products!D:D,"MISSING")</f>
        <v>2500</v>
      </c>
      <c r="I343" s="1" t="str">
        <f t="shared" si="10"/>
        <v>Jun</v>
      </c>
      <c r="J343" s="1">
        <f t="shared" si="11"/>
        <v>12500</v>
      </c>
      <c r="K343" s="1" t="str">
        <f>_xlfn.XLOOKUP(C343,Customers!A:A,Customers!B:B,"MISSING")</f>
        <v>Sneha Iyer</v>
      </c>
      <c r="L343" s="1" t="str">
        <f>_xlfn.XLOOKUP(D343,Products!A:A,Products!B:B,"MISSING")</f>
        <v>Jeans</v>
      </c>
    </row>
    <row r="344" spans="1:12">
      <c r="A344" s="1">
        <v>1343</v>
      </c>
      <c r="B344" s="1" t="s">
        <v>392</v>
      </c>
      <c r="C344" s="1" t="s">
        <v>121</v>
      </c>
      <c r="D344" s="1" t="s">
        <v>151</v>
      </c>
      <c r="E344" s="1">
        <v>5</v>
      </c>
      <c r="F344" s="1" t="str">
        <f>_xlfn.XLOOKUP(C344,Customers!A:A,Customers!C:C,"MISSING")</f>
        <v>Bangalore</v>
      </c>
      <c r="G344" s="1" t="str">
        <f>_xlfn.XLOOKUP(D344,Products!A:A,Products!C:C,"MISSING")</f>
        <v>Clothing</v>
      </c>
      <c r="H344" s="1">
        <f>_xlfn.XLOOKUP(D344,Products!A:A,Products!D:D,"MISSING")</f>
        <v>1500</v>
      </c>
      <c r="I344" s="1" t="str">
        <f t="shared" si="10"/>
        <v>Jun</v>
      </c>
      <c r="J344" s="1">
        <f t="shared" si="11"/>
        <v>7500</v>
      </c>
      <c r="K344" s="1" t="str">
        <f>_xlfn.XLOOKUP(C344,Customers!A:A,Customers!B:B,"MISSING")</f>
        <v>Ishita Bose</v>
      </c>
      <c r="L344" s="1" t="str">
        <f>_xlfn.XLOOKUP(D344,Products!A:A,Products!B:B,"MISSING")</f>
        <v>T-Shirt</v>
      </c>
    </row>
    <row r="345" spans="1:12">
      <c r="A345" s="1">
        <v>1344</v>
      </c>
      <c r="B345" s="1" t="s">
        <v>393</v>
      </c>
      <c r="C345" s="1" t="s">
        <v>117</v>
      </c>
      <c r="D345" s="1" t="s">
        <v>147</v>
      </c>
      <c r="E345" s="1">
        <v>1</v>
      </c>
      <c r="F345" s="1" t="str">
        <f>_xlfn.XLOOKUP(C345,Customers!A:A,Customers!C:C,"MISSING")</f>
        <v>Kolkata</v>
      </c>
      <c r="G345" s="1" t="str">
        <f>_xlfn.XLOOKUP(D345,Products!A:A,Products!C:C,"MISSING")</f>
        <v>Furniture</v>
      </c>
      <c r="H345" s="1">
        <f>_xlfn.XLOOKUP(D345,Products!A:A,Products!D:D,"MISSING")</f>
        <v>7000</v>
      </c>
      <c r="I345" s="1" t="str">
        <f t="shared" si="10"/>
        <v>Aug</v>
      </c>
      <c r="J345" s="1">
        <f t="shared" si="11"/>
        <v>7000</v>
      </c>
      <c r="K345" s="1" t="str">
        <f>_xlfn.XLOOKUP(C345,Customers!A:A,Customers!B:B,"MISSING")</f>
        <v>Tanya Sethi</v>
      </c>
      <c r="L345" s="1" t="str">
        <f>_xlfn.XLOOKUP(D345,Products!A:A,Products!B:B,"MISSING")</f>
        <v>Table</v>
      </c>
    </row>
    <row r="346" spans="1:12">
      <c r="A346" s="1">
        <v>1345</v>
      </c>
      <c r="B346" s="1" t="s">
        <v>394</v>
      </c>
      <c r="C346" s="1" t="s">
        <v>40</v>
      </c>
      <c r="D346" s="1" t="s">
        <v>154</v>
      </c>
      <c r="E346" s="1">
        <v>1</v>
      </c>
      <c r="F346" s="1" t="str">
        <f>_xlfn.XLOOKUP(C346,Customers!A:A,Customers!C:C,"MISSING")</f>
        <v>Ahmedabad</v>
      </c>
      <c r="G346" s="1" t="str">
        <f>_xlfn.XLOOKUP(D346,Products!A:A,Products!C:C,"MISSING")</f>
        <v>Clothing</v>
      </c>
      <c r="H346" s="1">
        <f>_xlfn.XLOOKUP(D346,Products!A:A,Products!D:D,"MISSING")</f>
        <v>2500</v>
      </c>
      <c r="I346" s="1" t="str">
        <f t="shared" si="10"/>
        <v>Aug</v>
      </c>
      <c r="J346" s="1">
        <f t="shared" si="11"/>
        <v>2500</v>
      </c>
      <c r="K346" s="1" t="str">
        <f>_xlfn.XLOOKUP(C346,Customers!A:A,Customers!B:B,"MISSING")</f>
        <v>Neha Singh</v>
      </c>
      <c r="L346" s="1" t="str">
        <f>_xlfn.XLOOKUP(D346,Products!A:A,Products!B:B,"MISSING")</f>
        <v>Jeans</v>
      </c>
    </row>
    <row r="347" spans="1:12">
      <c r="A347" s="1">
        <v>1346</v>
      </c>
      <c r="B347" s="1" t="s">
        <v>322</v>
      </c>
      <c r="C347" s="1" t="s">
        <v>102</v>
      </c>
      <c r="D347" s="1" t="s">
        <v>149</v>
      </c>
      <c r="E347" s="1">
        <v>4</v>
      </c>
      <c r="F347" s="1" t="str">
        <f>_xlfn.XLOOKUP(C347,Customers!A:A,Customers!C:C,"MISSING")</f>
        <v>Lucknow</v>
      </c>
      <c r="G347" s="1" t="str">
        <f>_xlfn.XLOOKUP(D347,Products!A:A,Products!C:C,"MISSING")</f>
        <v>Furniture</v>
      </c>
      <c r="H347" s="1">
        <f>_xlfn.XLOOKUP(D347,Products!A:A,Products!D:D,"MISSING")</f>
        <v>25000</v>
      </c>
      <c r="I347" s="1" t="str">
        <f t="shared" si="10"/>
        <v>Aug</v>
      </c>
      <c r="J347" s="1">
        <f t="shared" si="11"/>
        <v>100000</v>
      </c>
      <c r="K347" s="1" t="str">
        <f>_xlfn.XLOOKUP(C347,Customers!A:A,Customers!B:B,"MISSING")</f>
        <v>Manav Arora</v>
      </c>
      <c r="L347" s="1" t="str">
        <f>_xlfn.XLOOKUP(D347,Products!A:A,Products!B:B,"MISSING")</f>
        <v>Sofa</v>
      </c>
    </row>
    <row r="348" spans="1:12">
      <c r="A348" s="1">
        <v>1347</v>
      </c>
      <c r="B348" s="1" t="s">
        <v>395</v>
      </c>
      <c r="C348" s="1" t="s">
        <v>60</v>
      </c>
      <c r="D348" s="1" t="s">
        <v>140</v>
      </c>
      <c r="E348" s="1">
        <v>5</v>
      </c>
      <c r="F348" s="1" t="str">
        <f>_xlfn.XLOOKUP(C348,Customers!A:A,Customers!C:C,"MISSING")</f>
        <v>Delhi</v>
      </c>
      <c r="G348" s="1" t="str">
        <f>_xlfn.XLOOKUP(D348,Products!A:A,Products!C:C,"MISSING")</f>
        <v>Electronics</v>
      </c>
      <c r="H348" s="1">
        <f>_xlfn.XLOOKUP(D348,Products!A:A,Products!D:D,"MISSING")</f>
        <v>20000</v>
      </c>
      <c r="I348" s="1" t="str">
        <f t="shared" si="10"/>
        <v>Apr</v>
      </c>
      <c r="J348" s="1">
        <f t="shared" si="11"/>
        <v>100000</v>
      </c>
      <c r="K348" s="1" t="str">
        <f>_xlfn.XLOOKUP(C348,Customers!A:A,Customers!B:B,"MISSING")</f>
        <v>Amit Verma</v>
      </c>
      <c r="L348" s="1" t="str">
        <f>_xlfn.XLOOKUP(D348,Products!A:A,Products!B:B,"MISSING")</f>
        <v>Mobile</v>
      </c>
    </row>
    <row r="349" spans="1:12">
      <c r="A349" s="1">
        <v>1348</v>
      </c>
      <c r="B349" s="1" t="s">
        <v>278</v>
      </c>
      <c r="C349" s="1" t="s">
        <v>16</v>
      </c>
      <c r="D349" s="1" t="s">
        <v>149</v>
      </c>
      <c r="E349" s="1">
        <v>2</v>
      </c>
      <c r="F349" s="1" t="str">
        <f>_xlfn.XLOOKUP(C349,Customers!A:A,Customers!C:C,"MISSING")</f>
        <v>Hyderabad</v>
      </c>
      <c r="G349" s="1" t="str">
        <f>_xlfn.XLOOKUP(D349,Products!A:A,Products!C:C,"MISSING")</f>
        <v>Furniture</v>
      </c>
      <c r="H349" s="1">
        <f>_xlfn.XLOOKUP(D349,Products!A:A,Products!D:D,"MISSING")</f>
        <v>25000</v>
      </c>
      <c r="I349" s="1" t="str">
        <f t="shared" si="10"/>
        <v>Nov</v>
      </c>
      <c r="J349" s="1">
        <f t="shared" si="11"/>
        <v>50000</v>
      </c>
      <c r="K349" s="1" t="str">
        <f>_xlfn.XLOOKUP(C349,Customers!A:A,Customers!B:B,"MISSING")</f>
        <v>Rahul Sharma</v>
      </c>
      <c r="L349" s="1" t="str">
        <f>_xlfn.XLOOKUP(D349,Products!A:A,Products!B:B,"MISSING")</f>
        <v>Sofa</v>
      </c>
    </row>
    <row r="350" spans="1:12">
      <c r="A350" s="1">
        <v>1349</v>
      </c>
      <c r="B350" s="1" t="s">
        <v>254</v>
      </c>
      <c r="C350" s="1" t="s">
        <v>128</v>
      </c>
      <c r="D350" s="1" t="s">
        <v>137</v>
      </c>
      <c r="E350" s="1">
        <v>2</v>
      </c>
      <c r="F350" s="1" t="str">
        <f>_xlfn.XLOOKUP(C350,Customers!A:A,Customers!C:C,"MISSING")</f>
        <v>Delhi</v>
      </c>
      <c r="G350" s="1" t="str">
        <f>_xlfn.XLOOKUP(D350,Products!A:A,Products!C:C,"MISSING")</f>
        <v>Electronics</v>
      </c>
      <c r="H350" s="1">
        <f>_xlfn.XLOOKUP(D350,Products!A:A,Products!D:D,"MISSING")</f>
        <v>50000</v>
      </c>
      <c r="I350" s="1" t="str">
        <f t="shared" si="10"/>
        <v>Jul</v>
      </c>
      <c r="J350" s="1">
        <f t="shared" si="11"/>
        <v>100000</v>
      </c>
      <c r="K350" s="1" t="str">
        <f>_xlfn.XLOOKUP(C350,Customers!A:A,Customers!B:B,"MISSING")</f>
        <v>Neha Singh</v>
      </c>
      <c r="L350" s="1" t="str">
        <f>_xlfn.XLOOKUP(D350,Products!A:A,Products!B:B,"MISSING")</f>
        <v>Laptop</v>
      </c>
    </row>
    <row r="351" spans="1:12">
      <c r="A351" s="1">
        <v>1350</v>
      </c>
      <c r="B351" s="1" t="s">
        <v>396</v>
      </c>
      <c r="C351" s="1" t="s">
        <v>49</v>
      </c>
      <c r="D351" s="1" t="s">
        <v>158</v>
      </c>
      <c r="E351" s="1">
        <v>4</v>
      </c>
      <c r="F351" s="1" t="str">
        <f>_xlfn.XLOOKUP(C351,Customers!A:A,Customers!C:C,"MISSING")</f>
        <v>Ahmedabad</v>
      </c>
      <c r="G351" s="1" t="str">
        <f>_xlfn.XLOOKUP(D351,Products!A:A,Products!C:C,"MISSING")</f>
        <v>Clothing</v>
      </c>
      <c r="H351" s="1">
        <f>_xlfn.XLOOKUP(D351,Products!A:A,Products!D:D,"MISSING")</f>
        <v>3500</v>
      </c>
      <c r="I351" s="1" t="str">
        <f t="shared" si="10"/>
        <v>Apr</v>
      </c>
      <c r="J351" s="1">
        <f t="shared" si="11"/>
        <v>14000</v>
      </c>
      <c r="K351" s="1" t="str">
        <f>_xlfn.XLOOKUP(C351,Customers!A:A,Customers!B:B,"MISSING")</f>
        <v>Ravi Patel</v>
      </c>
      <c r="L351" s="1" t="str">
        <f>_xlfn.XLOOKUP(D351,Products!A:A,Products!B:B,"MISSING")</f>
        <v>Shoes</v>
      </c>
    </row>
    <row r="352" spans="1:12">
      <c r="A352" s="1">
        <v>1351</v>
      </c>
      <c r="B352" s="1" t="s">
        <v>397</v>
      </c>
      <c r="C352" s="1" t="s">
        <v>92</v>
      </c>
      <c r="D352" s="1" t="s">
        <v>158</v>
      </c>
      <c r="E352" s="1">
        <v>2</v>
      </c>
      <c r="F352" s="1" t="str">
        <f>_xlfn.XLOOKUP(C352,Customers!A:A,Customers!C:C,"MISSING")</f>
        <v>Lucknow</v>
      </c>
      <c r="G352" s="1" t="str">
        <f>_xlfn.XLOOKUP(D352,Products!A:A,Products!C:C,"MISSING")</f>
        <v>Clothing</v>
      </c>
      <c r="H352" s="1">
        <f>_xlfn.XLOOKUP(D352,Products!A:A,Products!D:D,"MISSING")</f>
        <v>3500</v>
      </c>
      <c r="I352" s="1" t="str">
        <f t="shared" si="10"/>
        <v>Oct</v>
      </c>
      <c r="J352" s="1">
        <f t="shared" si="11"/>
        <v>7000</v>
      </c>
      <c r="K352" s="1" t="str">
        <f>_xlfn.XLOOKUP(C352,Customers!A:A,Customers!B:B,"MISSING")</f>
        <v>Rohit Sen</v>
      </c>
      <c r="L352" s="1" t="str">
        <f>_xlfn.XLOOKUP(D352,Products!A:A,Products!B:B,"MISSING")</f>
        <v>Shoes</v>
      </c>
    </row>
    <row r="353" spans="1:12">
      <c r="A353" s="1">
        <v>1352</v>
      </c>
      <c r="B353" s="1" t="s">
        <v>190</v>
      </c>
      <c r="C353" s="1" t="s">
        <v>40</v>
      </c>
      <c r="D353" s="1" t="s">
        <v>147</v>
      </c>
      <c r="E353" s="1">
        <v>2</v>
      </c>
      <c r="F353" s="1" t="str">
        <f>_xlfn.XLOOKUP(C353,Customers!A:A,Customers!C:C,"MISSING")</f>
        <v>Ahmedabad</v>
      </c>
      <c r="G353" s="1" t="str">
        <f>_xlfn.XLOOKUP(D353,Products!A:A,Products!C:C,"MISSING")</f>
        <v>Furniture</v>
      </c>
      <c r="H353" s="1">
        <f>_xlfn.XLOOKUP(D353,Products!A:A,Products!D:D,"MISSING")</f>
        <v>7000</v>
      </c>
      <c r="I353" s="1" t="str">
        <f t="shared" si="10"/>
        <v>Jun</v>
      </c>
      <c r="J353" s="1">
        <f t="shared" si="11"/>
        <v>14000</v>
      </c>
      <c r="K353" s="1" t="str">
        <f>_xlfn.XLOOKUP(C353,Customers!A:A,Customers!B:B,"MISSING")</f>
        <v>Neha Singh</v>
      </c>
      <c r="L353" s="1" t="str">
        <f>_xlfn.XLOOKUP(D353,Products!A:A,Products!B:B,"MISSING")</f>
        <v>Table</v>
      </c>
    </row>
    <row r="354" spans="1:12">
      <c r="A354" s="1">
        <v>1353</v>
      </c>
      <c r="B354" s="1" t="s">
        <v>290</v>
      </c>
      <c r="C354" s="1" t="s">
        <v>56</v>
      </c>
      <c r="D354" s="1" t="s">
        <v>137</v>
      </c>
      <c r="E354" s="1">
        <v>4</v>
      </c>
      <c r="F354" s="1" t="str">
        <f>_xlfn.XLOOKUP(C354,Customers!A:A,Customers!C:C,"MISSING")</f>
        <v>Bangalore</v>
      </c>
      <c r="G354" s="1" t="str">
        <f>_xlfn.XLOOKUP(D354,Products!A:A,Products!C:C,"MISSING")</f>
        <v>Electronics</v>
      </c>
      <c r="H354" s="1">
        <f>_xlfn.XLOOKUP(D354,Products!A:A,Products!D:D,"MISSING")</f>
        <v>50000</v>
      </c>
      <c r="I354" s="1" t="str">
        <f t="shared" si="10"/>
        <v>Jul</v>
      </c>
      <c r="J354" s="1">
        <f t="shared" si="11"/>
        <v>200000</v>
      </c>
      <c r="K354" s="1" t="str">
        <f>_xlfn.XLOOKUP(C354,Customers!A:A,Customers!B:B,"MISSING")</f>
        <v>Karan Mehta</v>
      </c>
      <c r="L354" s="1" t="str">
        <f>_xlfn.XLOOKUP(D354,Products!A:A,Products!B:B,"MISSING")</f>
        <v>Laptop</v>
      </c>
    </row>
    <row r="355" spans="1:12">
      <c r="A355" s="1">
        <v>1354</v>
      </c>
      <c r="B355" s="1" t="s">
        <v>288</v>
      </c>
      <c r="C355" s="1" t="s">
        <v>49</v>
      </c>
      <c r="D355" s="1" t="s">
        <v>144</v>
      </c>
      <c r="E355" s="1">
        <v>5</v>
      </c>
      <c r="F355" s="1" t="str">
        <f>_xlfn.XLOOKUP(C355,Customers!A:A,Customers!C:C,"MISSING")</f>
        <v>Ahmedabad</v>
      </c>
      <c r="G355" s="1" t="str">
        <f>_xlfn.XLOOKUP(D355,Products!A:A,Products!C:C,"MISSING")</f>
        <v>Furniture</v>
      </c>
      <c r="H355" s="1">
        <f>_xlfn.XLOOKUP(D355,Products!A:A,Products!D:D,"MISSING")</f>
        <v>3000</v>
      </c>
      <c r="I355" s="1" t="str">
        <f t="shared" si="10"/>
        <v>Jul</v>
      </c>
      <c r="J355" s="1">
        <f t="shared" si="11"/>
        <v>15000</v>
      </c>
      <c r="K355" s="1" t="str">
        <f>_xlfn.XLOOKUP(C355,Customers!A:A,Customers!B:B,"MISSING")</f>
        <v>Ravi Patel</v>
      </c>
      <c r="L355" s="1" t="str">
        <f>_xlfn.XLOOKUP(D355,Products!A:A,Products!B:B,"MISSING")</f>
        <v>Chair</v>
      </c>
    </row>
    <row r="356" spans="1:12">
      <c r="A356" s="1">
        <v>1355</v>
      </c>
      <c r="B356" s="1" t="s">
        <v>392</v>
      </c>
      <c r="C356" s="1" t="s">
        <v>125</v>
      </c>
      <c r="D356" s="1" t="s">
        <v>149</v>
      </c>
      <c r="E356" s="1">
        <v>1</v>
      </c>
      <c r="F356" s="1" t="str">
        <f>_xlfn.XLOOKUP(C356,Customers!A:A,Customers!C:C,"MISSING")</f>
        <v>Pune</v>
      </c>
      <c r="G356" s="1" t="str">
        <f>_xlfn.XLOOKUP(D356,Products!A:A,Products!C:C,"MISSING")</f>
        <v>Furniture</v>
      </c>
      <c r="H356" s="1">
        <f>_xlfn.XLOOKUP(D356,Products!A:A,Products!D:D,"MISSING")</f>
        <v>25000</v>
      </c>
      <c r="I356" s="1" t="str">
        <f t="shared" si="10"/>
        <v>Jun</v>
      </c>
      <c r="J356" s="1">
        <f t="shared" si="11"/>
        <v>25000</v>
      </c>
      <c r="K356" s="1" t="str">
        <f>_xlfn.XLOOKUP(C356,Customers!A:A,Customers!B:B,"MISSING")</f>
        <v>Sneha Iyer</v>
      </c>
      <c r="L356" s="1" t="str">
        <f>_xlfn.XLOOKUP(D356,Products!A:A,Products!B:B,"MISSING")</f>
        <v>Sofa</v>
      </c>
    </row>
    <row r="357" spans="1:12">
      <c r="A357" s="1">
        <v>1356</v>
      </c>
      <c r="B357" s="1" t="s">
        <v>359</v>
      </c>
      <c r="C357" s="1" t="s">
        <v>123</v>
      </c>
      <c r="D357" s="1" t="s">
        <v>154</v>
      </c>
      <c r="E357" s="1">
        <v>4</v>
      </c>
      <c r="F357" s="1" t="str">
        <f>_xlfn.XLOOKUP(C357,Customers!A:A,Customers!C:C,"MISSING")</f>
        <v>Bangalore</v>
      </c>
      <c r="G357" s="1" t="str">
        <f>_xlfn.XLOOKUP(D357,Products!A:A,Products!C:C,"MISSING")</f>
        <v>Clothing</v>
      </c>
      <c r="H357" s="1">
        <f>_xlfn.XLOOKUP(D357,Products!A:A,Products!D:D,"MISSING")</f>
        <v>2500</v>
      </c>
      <c r="I357" s="1" t="str">
        <f t="shared" si="10"/>
        <v>Aug</v>
      </c>
      <c r="J357" s="1">
        <f t="shared" si="11"/>
        <v>10000</v>
      </c>
      <c r="K357" s="1" t="str">
        <f>_xlfn.XLOOKUP(C357,Customers!A:A,Customers!B:B,"MISSING")</f>
        <v>Karan Mehta</v>
      </c>
      <c r="L357" s="1" t="str">
        <f>_xlfn.XLOOKUP(D357,Products!A:A,Products!B:B,"MISSING")</f>
        <v>Jeans</v>
      </c>
    </row>
    <row r="358" spans="1:12">
      <c r="A358" s="1">
        <v>1357</v>
      </c>
      <c r="B358" s="1" t="s">
        <v>174</v>
      </c>
      <c r="C358" s="1" t="s">
        <v>102</v>
      </c>
      <c r="D358" s="1" t="s">
        <v>137</v>
      </c>
      <c r="E358" s="1">
        <v>5</v>
      </c>
      <c r="F358" s="1" t="str">
        <f>_xlfn.XLOOKUP(C358,Customers!A:A,Customers!C:C,"MISSING")</f>
        <v>Lucknow</v>
      </c>
      <c r="G358" s="1" t="str">
        <f>_xlfn.XLOOKUP(D358,Products!A:A,Products!C:C,"MISSING")</f>
        <v>Electronics</v>
      </c>
      <c r="H358" s="1">
        <f>_xlfn.XLOOKUP(D358,Products!A:A,Products!D:D,"MISSING")</f>
        <v>50000</v>
      </c>
      <c r="I358" s="1" t="str">
        <f t="shared" si="10"/>
        <v>Jun</v>
      </c>
      <c r="J358" s="1">
        <f t="shared" si="11"/>
        <v>250000</v>
      </c>
      <c r="K358" s="1" t="str">
        <f>_xlfn.XLOOKUP(C358,Customers!A:A,Customers!B:B,"MISSING")</f>
        <v>Manav Arora</v>
      </c>
      <c r="L358" s="1" t="str">
        <f>_xlfn.XLOOKUP(D358,Products!A:A,Products!B:B,"MISSING")</f>
        <v>Laptop</v>
      </c>
    </row>
    <row r="359" spans="1:12">
      <c r="A359" s="1">
        <v>1358</v>
      </c>
      <c r="B359" s="1" t="s">
        <v>218</v>
      </c>
      <c r="C359" s="1" t="s">
        <v>122</v>
      </c>
      <c r="D359" s="1" t="s">
        <v>142</v>
      </c>
      <c r="E359" s="1">
        <v>1</v>
      </c>
      <c r="F359" s="1" t="str">
        <f>_xlfn.XLOOKUP(C359,Customers!A:A,Customers!C:C,"MISSING")</f>
        <v>Delhi</v>
      </c>
      <c r="G359" s="1" t="str">
        <f>_xlfn.XLOOKUP(D359,Products!A:A,Products!C:C,"MISSING")</f>
        <v>Electronics</v>
      </c>
      <c r="H359" s="1">
        <f>_xlfn.XLOOKUP(D359,Products!A:A,Products!D:D,"MISSING")</f>
        <v>15000</v>
      </c>
      <c r="I359" s="1" t="str">
        <f t="shared" si="10"/>
        <v>Mar</v>
      </c>
      <c r="J359" s="1">
        <f t="shared" si="11"/>
        <v>15000</v>
      </c>
      <c r="K359" s="1" t="str">
        <f>_xlfn.XLOOKUP(C359,Customers!A:A,Customers!B:B,"MISSING")</f>
        <v>Rohit Sen</v>
      </c>
      <c r="L359" s="1" t="str">
        <f>_xlfn.XLOOKUP(D359,Products!A:A,Products!B:B,"MISSING")</f>
        <v>Tablet</v>
      </c>
    </row>
    <row r="360" spans="1:12">
      <c r="A360" s="1">
        <v>1359</v>
      </c>
      <c r="B360" s="1" t="s">
        <v>246</v>
      </c>
      <c r="C360" s="1" t="s">
        <v>84</v>
      </c>
      <c r="D360" s="1" t="s">
        <v>154</v>
      </c>
      <c r="E360" s="1">
        <v>5</v>
      </c>
      <c r="F360" s="1" t="str">
        <f>_xlfn.XLOOKUP(C360,Customers!A:A,Customers!C:C,"MISSING")</f>
        <v>Mumbai</v>
      </c>
      <c r="G360" s="1" t="str">
        <f>_xlfn.XLOOKUP(D360,Products!A:A,Products!C:C,"MISSING")</f>
        <v>Clothing</v>
      </c>
      <c r="H360" s="1">
        <f>_xlfn.XLOOKUP(D360,Products!A:A,Products!D:D,"MISSING")</f>
        <v>2500</v>
      </c>
      <c r="I360" s="1" t="str">
        <f t="shared" si="10"/>
        <v>May</v>
      </c>
      <c r="J360" s="1">
        <f t="shared" si="11"/>
        <v>12500</v>
      </c>
      <c r="K360" s="1" t="str">
        <f>_xlfn.XLOOKUP(C360,Customers!A:A,Customers!B:B,"MISSING")</f>
        <v>Manav Arora</v>
      </c>
      <c r="L360" s="1" t="str">
        <f>_xlfn.XLOOKUP(D360,Products!A:A,Products!B:B,"MISSING")</f>
        <v>Jeans</v>
      </c>
    </row>
    <row r="361" spans="1:12">
      <c r="A361" s="1">
        <v>1360</v>
      </c>
      <c r="B361" s="1" t="s">
        <v>313</v>
      </c>
      <c r="C361" s="1" t="s">
        <v>80</v>
      </c>
      <c r="D361" s="1" t="s">
        <v>142</v>
      </c>
      <c r="E361" s="1">
        <v>2</v>
      </c>
      <c r="F361" s="1" t="str">
        <f>_xlfn.XLOOKUP(C361,Customers!A:A,Customers!C:C,"MISSING")</f>
        <v>Kolkata</v>
      </c>
      <c r="G361" s="1" t="str">
        <f>_xlfn.XLOOKUP(D361,Products!A:A,Products!C:C,"MISSING")</f>
        <v>Electronics</v>
      </c>
      <c r="H361" s="1">
        <f>_xlfn.XLOOKUP(D361,Products!A:A,Products!D:D,"MISSING")</f>
        <v>15000</v>
      </c>
      <c r="I361" s="1" t="str">
        <f t="shared" si="10"/>
        <v>Jul</v>
      </c>
      <c r="J361" s="1">
        <f t="shared" si="11"/>
        <v>30000</v>
      </c>
      <c r="K361" s="1" t="str">
        <f>_xlfn.XLOOKUP(C361,Customers!A:A,Customers!B:B,"MISSING")</f>
        <v>Arjun Malhotra</v>
      </c>
      <c r="L361" s="1" t="str">
        <f>_xlfn.XLOOKUP(D361,Products!A:A,Products!B:B,"MISSING")</f>
        <v>Tablet</v>
      </c>
    </row>
    <row r="362" spans="1:12">
      <c r="A362" s="1">
        <v>1361</v>
      </c>
      <c r="B362" s="1" t="s">
        <v>198</v>
      </c>
      <c r="C362" s="1" t="s">
        <v>79</v>
      </c>
      <c r="D362" s="1" t="s">
        <v>154</v>
      </c>
      <c r="E362" s="1">
        <v>4</v>
      </c>
      <c r="F362" s="1" t="str">
        <f>_xlfn.XLOOKUP(C362,Customers!A:A,Customers!C:C,"MISSING")</f>
        <v>Lucknow</v>
      </c>
      <c r="G362" s="1" t="str">
        <f>_xlfn.XLOOKUP(D362,Products!A:A,Products!C:C,"MISSING")</f>
        <v>Clothing</v>
      </c>
      <c r="H362" s="1">
        <f>_xlfn.XLOOKUP(D362,Products!A:A,Products!D:D,"MISSING")</f>
        <v>2500</v>
      </c>
      <c r="I362" s="1" t="str">
        <f t="shared" si="10"/>
        <v>Mar</v>
      </c>
      <c r="J362" s="1">
        <f t="shared" si="11"/>
        <v>10000</v>
      </c>
      <c r="K362" s="1" t="str">
        <f>_xlfn.XLOOKUP(C362,Customers!A:A,Customers!B:B,"MISSING")</f>
        <v>Rahul Sharma</v>
      </c>
      <c r="L362" s="1" t="str">
        <f>_xlfn.XLOOKUP(D362,Products!A:A,Products!B:B,"MISSING")</f>
        <v>Jeans</v>
      </c>
    </row>
    <row r="363" spans="1:12">
      <c r="A363" s="1">
        <v>1362</v>
      </c>
      <c r="B363" s="1" t="s">
        <v>374</v>
      </c>
      <c r="C363" s="1" t="s">
        <v>56</v>
      </c>
      <c r="D363" s="1" t="s">
        <v>147</v>
      </c>
      <c r="E363" s="1">
        <v>3</v>
      </c>
      <c r="F363" s="1" t="str">
        <f>_xlfn.XLOOKUP(C363,Customers!A:A,Customers!C:C,"MISSING")</f>
        <v>Bangalore</v>
      </c>
      <c r="G363" s="1" t="str">
        <f>_xlfn.XLOOKUP(D363,Products!A:A,Products!C:C,"MISSING")</f>
        <v>Furniture</v>
      </c>
      <c r="H363" s="1">
        <f>_xlfn.XLOOKUP(D363,Products!A:A,Products!D:D,"MISSING")</f>
        <v>7000</v>
      </c>
      <c r="I363" s="1" t="str">
        <f t="shared" si="10"/>
        <v>Jan</v>
      </c>
      <c r="J363" s="1">
        <f t="shared" si="11"/>
        <v>21000</v>
      </c>
      <c r="K363" s="1" t="str">
        <f>_xlfn.XLOOKUP(C363,Customers!A:A,Customers!B:B,"MISSING")</f>
        <v>Karan Mehta</v>
      </c>
      <c r="L363" s="1" t="str">
        <f>_xlfn.XLOOKUP(D363,Products!A:A,Products!B:B,"MISSING")</f>
        <v>Table</v>
      </c>
    </row>
    <row r="364" spans="1:12">
      <c r="A364" s="1">
        <v>1363</v>
      </c>
      <c r="B364" s="1" t="s">
        <v>398</v>
      </c>
      <c r="C364" s="1" t="s">
        <v>55</v>
      </c>
      <c r="D364" s="1" t="s">
        <v>151</v>
      </c>
      <c r="E364" s="1">
        <v>3</v>
      </c>
      <c r="F364" s="1" t="str">
        <f>_xlfn.XLOOKUP(C364,Customers!A:A,Customers!C:C,"MISSING")</f>
        <v>Jaipur</v>
      </c>
      <c r="G364" s="1" t="str">
        <f>_xlfn.XLOOKUP(D364,Products!A:A,Products!C:C,"MISSING")</f>
        <v>Clothing</v>
      </c>
      <c r="H364" s="1">
        <f>_xlfn.XLOOKUP(D364,Products!A:A,Products!D:D,"MISSING")</f>
        <v>1500</v>
      </c>
      <c r="I364" s="1" t="str">
        <f t="shared" si="10"/>
        <v>May</v>
      </c>
      <c r="J364" s="1">
        <f t="shared" si="11"/>
        <v>4500</v>
      </c>
      <c r="K364" s="1" t="str">
        <f>_xlfn.XLOOKUP(C364,Customers!A:A,Customers!B:B,"MISSING")</f>
        <v>Neha Singh</v>
      </c>
      <c r="L364" s="1" t="str">
        <f>_xlfn.XLOOKUP(D364,Products!A:A,Products!B:B,"MISSING")</f>
        <v>T-Shirt</v>
      </c>
    </row>
    <row r="365" spans="1:12">
      <c r="A365" s="1">
        <v>1364</v>
      </c>
      <c r="B365" s="1" t="s">
        <v>326</v>
      </c>
      <c r="C365" s="1" t="s">
        <v>52</v>
      </c>
      <c r="D365" s="1" t="s">
        <v>140</v>
      </c>
      <c r="E365" s="1">
        <v>1</v>
      </c>
      <c r="F365" s="1" t="str">
        <f>_xlfn.XLOOKUP(C365,Customers!A:A,Customers!C:C,"MISSING")</f>
        <v>Bangalore</v>
      </c>
      <c r="G365" s="1" t="str">
        <f>_xlfn.XLOOKUP(D365,Products!A:A,Products!C:C,"MISSING")</f>
        <v>Electronics</v>
      </c>
      <c r="H365" s="1">
        <f>_xlfn.XLOOKUP(D365,Products!A:A,Products!D:D,"MISSING")</f>
        <v>20000</v>
      </c>
      <c r="I365" s="1" t="str">
        <f t="shared" si="10"/>
        <v>Jan</v>
      </c>
      <c r="J365" s="1">
        <f t="shared" si="11"/>
        <v>20000</v>
      </c>
      <c r="K365" s="1" t="str">
        <f>_xlfn.XLOOKUP(C365,Customers!A:A,Customers!B:B,"MISSING")</f>
        <v>Tanya Sethi</v>
      </c>
      <c r="L365" s="1" t="str">
        <f>_xlfn.XLOOKUP(D365,Products!A:A,Products!B:B,"MISSING")</f>
        <v>Mobile</v>
      </c>
    </row>
    <row r="366" spans="1:12">
      <c r="A366" s="1">
        <v>1365</v>
      </c>
      <c r="B366" s="1" t="s">
        <v>399</v>
      </c>
      <c r="C366" s="1" t="s">
        <v>98</v>
      </c>
      <c r="D366" s="1" t="s">
        <v>142</v>
      </c>
      <c r="E366" s="1">
        <v>1</v>
      </c>
      <c r="F366" s="1" t="str">
        <f>_xlfn.XLOOKUP(C366,Customers!A:A,Customers!C:C,"MISSING")</f>
        <v>Bangalore</v>
      </c>
      <c r="G366" s="1" t="str">
        <f>_xlfn.XLOOKUP(D366,Products!A:A,Products!C:C,"MISSING")</f>
        <v>Electronics</v>
      </c>
      <c r="H366" s="1">
        <f>_xlfn.XLOOKUP(D366,Products!A:A,Products!D:D,"MISSING")</f>
        <v>15000</v>
      </c>
      <c r="I366" s="1" t="str">
        <f t="shared" si="10"/>
        <v>Dec</v>
      </c>
      <c r="J366" s="1">
        <f t="shared" si="11"/>
        <v>15000</v>
      </c>
      <c r="K366" s="1" t="str">
        <f>_xlfn.XLOOKUP(C366,Customers!A:A,Customers!B:B,"MISSING")</f>
        <v>Pooja Jain</v>
      </c>
      <c r="L366" s="1" t="str">
        <f>_xlfn.XLOOKUP(D366,Products!A:A,Products!B:B,"MISSING")</f>
        <v>Tablet</v>
      </c>
    </row>
    <row r="367" spans="1:12">
      <c r="A367" s="1">
        <v>1366</v>
      </c>
      <c r="B367" s="1" t="s">
        <v>400</v>
      </c>
      <c r="C367" s="1" t="s">
        <v>53</v>
      </c>
      <c r="D367" s="1" t="s">
        <v>137</v>
      </c>
      <c r="E367" s="1">
        <v>4</v>
      </c>
      <c r="F367" s="1" t="str">
        <f>_xlfn.XLOOKUP(C367,Customers!A:A,Customers!C:C,"MISSING")</f>
        <v>Chennai</v>
      </c>
      <c r="G367" s="1" t="str">
        <f>_xlfn.XLOOKUP(D367,Products!A:A,Products!C:C,"MISSING")</f>
        <v>Electronics</v>
      </c>
      <c r="H367" s="1">
        <f>_xlfn.XLOOKUP(D367,Products!A:A,Products!D:D,"MISSING")</f>
        <v>50000</v>
      </c>
      <c r="I367" s="1" t="str">
        <f t="shared" si="10"/>
        <v>Apr</v>
      </c>
      <c r="J367" s="1">
        <f t="shared" si="11"/>
        <v>200000</v>
      </c>
      <c r="K367" s="1" t="str">
        <f>_xlfn.XLOOKUP(C367,Customers!A:A,Customers!B:B,"MISSING")</f>
        <v>Sneha Iyer</v>
      </c>
      <c r="L367" s="1" t="str">
        <f>_xlfn.XLOOKUP(D367,Products!A:A,Products!B:B,"MISSING")</f>
        <v>Laptop</v>
      </c>
    </row>
    <row r="368" spans="1:12">
      <c r="A368" s="1">
        <v>1367</v>
      </c>
      <c r="B368" s="1" t="s">
        <v>242</v>
      </c>
      <c r="C368" s="1" t="s">
        <v>87</v>
      </c>
      <c r="D368" s="1" t="s">
        <v>142</v>
      </c>
      <c r="E368" s="1">
        <v>3</v>
      </c>
      <c r="F368" s="1" t="str">
        <f>_xlfn.XLOOKUP(C368,Customers!A:A,Customers!C:C,"MISSING")</f>
        <v>Mumbai</v>
      </c>
      <c r="G368" s="1" t="str">
        <f>_xlfn.XLOOKUP(D368,Products!A:A,Products!C:C,"MISSING")</f>
        <v>Electronics</v>
      </c>
      <c r="H368" s="1">
        <f>_xlfn.XLOOKUP(D368,Products!A:A,Products!D:D,"MISSING")</f>
        <v>15000</v>
      </c>
      <c r="I368" s="1" t="str">
        <f t="shared" si="10"/>
        <v>Jan</v>
      </c>
      <c r="J368" s="1">
        <f t="shared" si="11"/>
        <v>45000</v>
      </c>
      <c r="K368" s="1" t="str">
        <f>_xlfn.XLOOKUP(C368,Customers!A:A,Customers!B:B,"MISSING")</f>
        <v>Ravi Patel</v>
      </c>
      <c r="L368" s="1" t="str">
        <f>_xlfn.XLOOKUP(D368,Products!A:A,Products!B:B,"MISSING")</f>
        <v>Tablet</v>
      </c>
    </row>
    <row r="369" spans="1:12">
      <c r="A369" s="1">
        <v>1368</v>
      </c>
      <c r="B369" s="1" t="s">
        <v>316</v>
      </c>
      <c r="C369" s="1" t="s">
        <v>123</v>
      </c>
      <c r="D369" s="1" t="s">
        <v>156</v>
      </c>
      <c r="E369" s="1">
        <v>4</v>
      </c>
      <c r="F369" s="1" t="str">
        <f>_xlfn.XLOOKUP(C369,Customers!A:A,Customers!C:C,"MISSING")</f>
        <v>Bangalore</v>
      </c>
      <c r="G369" s="1" t="str">
        <f>_xlfn.XLOOKUP(D369,Products!A:A,Products!C:C,"MISSING")</f>
        <v>Clothing</v>
      </c>
      <c r="H369" s="1">
        <f>_xlfn.XLOOKUP(D369,Products!A:A,Products!D:D,"MISSING")</f>
        <v>1800</v>
      </c>
      <c r="I369" s="1" t="str">
        <f t="shared" si="10"/>
        <v>Oct</v>
      </c>
      <c r="J369" s="1">
        <f t="shared" si="11"/>
        <v>7200</v>
      </c>
      <c r="K369" s="1" t="str">
        <f>_xlfn.XLOOKUP(C369,Customers!A:A,Customers!B:B,"MISSING")</f>
        <v>Karan Mehta</v>
      </c>
      <c r="L369" s="1" t="str">
        <f>_xlfn.XLOOKUP(D369,Products!A:A,Products!B:B,"MISSING")</f>
        <v>Shirt</v>
      </c>
    </row>
    <row r="370" spans="1:12">
      <c r="A370" s="1">
        <v>1369</v>
      </c>
      <c r="B370" s="1" t="s">
        <v>251</v>
      </c>
      <c r="C370" s="1" t="s">
        <v>57</v>
      </c>
      <c r="D370" s="1" t="s">
        <v>156</v>
      </c>
      <c r="E370" s="1">
        <v>1</v>
      </c>
      <c r="F370" s="1" t="str">
        <f>_xlfn.XLOOKUP(C370,Customers!A:A,Customers!C:C,"MISSING")</f>
        <v>Jaipur</v>
      </c>
      <c r="G370" s="1" t="str">
        <f>_xlfn.XLOOKUP(D370,Products!A:A,Products!C:C,"MISSING")</f>
        <v>Clothing</v>
      </c>
      <c r="H370" s="1">
        <f>_xlfn.XLOOKUP(D370,Products!A:A,Products!D:D,"MISSING")</f>
        <v>1800</v>
      </c>
      <c r="I370" s="1" t="str">
        <f t="shared" si="10"/>
        <v>May</v>
      </c>
      <c r="J370" s="1">
        <f t="shared" si="11"/>
        <v>1800</v>
      </c>
      <c r="K370" s="1" t="str">
        <f>_xlfn.XLOOKUP(C370,Customers!A:A,Customers!B:B,"MISSING")</f>
        <v>Manav Arora</v>
      </c>
      <c r="L370" s="1" t="str">
        <f>_xlfn.XLOOKUP(D370,Products!A:A,Products!B:B,"MISSING")</f>
        <v>Shirt</v>
      </c>
    </row>
    <row r="371" spans="1:12">
      <c r="A371" s="1">
        <v>1370</v>
      </c>
      <c r="B371" s="1" t="s">
        <v>344</v>
      </c>
      <c r="C371" s="1" t="s">
        <v>63</v>
      </c>
      <c r="D371" s="1" t="s">
        <v>151</v>
      </c>
      <c r="E371" s="1">
        <v>1</v>
      </c>
      <c r="F371" s="1" t="str">
        <f>_xlfn.XLOOKUP(C371,Customers!A:A,Customers!C:C,"MISSING")</f>
        <v>Delhi</v>
      </c>
      <c r="G371" s="1" t="str">
        <f>_xlfn.XLOOKUP(D371,Products!A:A,Products!C:C,"MISSING")</f>
        <v>Clothing</v>
      </c>
      <c r="H371" s="1">
        <f>_xlfn.XLOOKUP(D371,Products!A:A,Products!D:D,"MISSING")</f>
        <v>1500</v>
      </c>
      <c r="I371" s="1" t="str">
        <f t="shared" si="10"/>
        <v>Feb</v>
      </c>
      <c r="J371" s="1">
        <f t="shared" si="11"/>
        <v>1500</v>
      </c>
      <c r="K371" s="1" t="str">
        <f>_xlfn.XLOOKUP(C371,Customers!A:A,Customers!B:B,"MISSING")</f>
        <v>Vikas Nair</v>
      </c>
      <c r="L371" s="1" t="str">
        <f>_xlfn.XLOOKUP(D371,Products!A:A,Products!B:B,"MISSING")</f>
        <v>T-Shirt</v>
      </c>
    </row>
    <row r="372" spans="1:12">
      <c r="A372" s="1">
        <v>1371</v>
      </c>
      <c r="B372" s="1" t="s">
        <v>401</v>
      </c>
      <c r="C372" s="1" t="s">
        <v>87</v>
      </c>
      <c r="D372" s="1" t="s">
        <v>156</v>
      </c>
      <c r="E372" s="1">
        <v>4</v>
      </c>
      <c r="F372" s="1" t="str">
        <f>_xlfn.XLOOKUP(C372,Customers!A:A,Customers!C:C,"MISSING")</f>
        <v>Mumbai</v>
      </c>
      <c r="G372" s="1" t="str">
        <f>_xlfn.XLOOKUP(D372,Products!A:A,Products!C:C,"MISSING")</f>
        <v>Clothing</v>
      </c>
      <c r="H372" s="1">
        <f>_xlfn.XLOOKUP(D372,Products!A:A,Products!D:D,"MISSING")</f>
        <v>1800</v>
      </c>
      <c r="I372" s="1" t="str">
        <f t="shared" si="10"/>
        <v>Feb</v>
      </c>
      <c r="J372" s="1">
        <f t="shared" si="11"/>
        <v>7200</v>
      </c>
      <c r="K372" s="1" t="str">
        <f>_xlfn.XLOOKUP(C372,Customers!A:A,Customers!B:B,"MISSING")</f>
        <v>Ravi Patel</v>
      </c>
      <c r="L372" s="1" t="str">
        <f>_xlfn.XLOOKUP(D372,Products!A:A,Products!B:B,"MISSING")</f>
        <v>Shirt</v>
      </c>
    </row>
    <row r="373" spans="1:12">
      <c r="A373" s="1">
        <v>1372</v>
      </c>
      <c r="B373" s="1" t="s">
        <v>250</v>
      </c>
      <c r="C373" s="1" t="s">
        <v>72</v>
      </c>
      <c r="D373" s="1" t="s">
        <v>154</v>
      </c>
      <c r="E373" s="1">
        <v>3</v>
      </c>
      <c r="F373" s="1" t="str">
        <f>_xlfn.XLOOKUP(C373,Customers!A:A,Customers!C:C,"MISSING")</f>
        <v>Pune</v>
      </c>
      <c r="G373" s="1" t="str">
        <f>_xlfn.XLOOKUP(D373,Products!A:A,Products!C:C,"MISSING")</f>
        <v>Clothing</v>
      </c>
      <c r="H373" s="1">
        <f>_xlfn.XLOOKUP(D373,Products!A:A,Products!D:D,"MISSING")</f>
        <v>2500</v>
      </c>
      <c r="I373" s="1" t="str">
        <f t="shared" si="10"/>
        <v>Oct</v>
      </c>
      <c r="J373" s="1">
        <f t="shared" si="11"/>
        <v>7500</v>
      </c>
      <c r="K373" s="1" t="str">
        <f>_xlfn.XLOOKUP(C373,Customers!A:A,Customers!B:B,"MISSING")</f>
        <v>Nitin Joshi</v>
      </c>
      <c r="L373" s="1" t="str">
        <f>_xlfn.XLOOKUP(D373,Products!A:A,Products!B:B,"MISSING")</f>
        <v>Jeans</v>
      </c>
    </row>
    <row r="374" spans="1:12">
      <c r="A374" s="1">
        <v>1373</v>
      </c>
      <c r="B374" s="1" t="s">
        <v>402</v>
      </c>
      <c r="C374" s="1" t="s">
        <v>81</v>
      </c>
      <c r="D374" s="1" t="s">
        <v>154</v>
      </c>
      <c r="E374" s="1">
        <v>2</v>
      </c>
      <c r="F374" s="1" t="str">
        <f>_xlfn.XLOOKUP(C374,Customers!A:A,Customers!C:C,"MISSING")</f>
        <v>Mumbai</v>
      </c>
      <c r="G374" s="1" t="str">
        <f>_xlfn.XLOOKUP(D374,Products!A:A,Products!C:C,"MISSING")</f>
        <v>Clothing</v>
      </c>
      <c r="H374" s="1">
        <f>_xlfn.XLOOKUP(D374,Products!A:A,Products!D:D,"MISSING")</f>
        <v>2500</v>
      </c>
      <c r="I374" s="1" t="str">
        <f t="shared" si="10"/>
        <v>Dec</v>
      </c>
      <c r="J374" s="1">
        <f t="shared" si="11"/>
        <v>5000</v>
      </c>
      <c r="K374" s="1" t="str">
        <f>_xlfn.XLOOKUP(C374,Customers!A:A,Customers!B:B,"MISSING")</f>
        <v>Arjun Malhotra</v>
      </c>
      <c r="L374" s="1" t="str">
        <f>_xlfn.XLOOKUP(D374,Products!A:A,Products!B:B,"MISSING")</f>
        <v>Jeans</v>
      </c>
    </row>
    <row r="375" spans="1:12">
      <c r="A375" s="1">
        <v>1374</v>
      </c>
      <c r="B375" s="1" t="s">
        <v>178</v>
      </c>
      <c r="C375" s="1" t="s">
        <v>93</v>
      </c>
      <c r="D375" s="1" t="s">
        <v>144</v>
      </c>
      <c r="E375" s="1">
        <v>4</v>
      </c>
      <c r="F375" s="1" t="str">
        <f>_xlfn.XLOOKUP(C375,Customers!A:A,Customers!C:C,"MISSING")</f>
        <v>Lucknow</v>
      </c>
      <c r="G375" s="1" t="str">
        <f>_xlfn.XLOOKUP(D375,Products!A:A,Products!C:C,"MISSING")</f>
        <v>Furniture</v>
      </c>
      <c r="H375" s="1">
        <f>_xlfn.XLOOKUP(D375,Products!A:A,Products!D:D,"MISSING")</f>
        <v>3000</v>
      </c>
      <c r="I375" s="1" t="str">
        <f t="shared" si="10"/>
        <v>Jul</v>
      </c>
      <c r="J375" s="1">
        <f t="shared" si="11"/>
        <v>12000</v>
      </c>
      <c r="K375" s="1" t="str">
        <f>_xlfn.XLOOKUP(C375,Customers!A:A,Customers!B:B,"MISSING")</f>
        <v>Ankit Roy</v>
      </c>
      <c r="L375" s="1" t="str">
        <f>_xlfn.XLOOKUP(D375,Products!A:A,Products!B:B,"MISSING")</f>
        <v>Chair</v>
      </c>
    </row>
    <row r="376" spans="1:12">
      <c r="A376" s="1">
        <v>1375</v>
      </c>
      <c r="B376" s="1" t="s">
        <v>326</v>
      </c>
      <c r="C376" s="1" t="s">
        <v>89</v>
      </c>
      <c r="D376" s="1" t="s">
        <v>147</v>
      </c>
      <c r="E376" s="1">
        <v>3</v>
      </c>
      <c r="F376" s="1" t="str">
        <f>_xlfn.XLOOKUP(C376,Customers!A:A,Customers!C:C,"MISSING")</f>
        <v>Bangalore</v>
      </c>
      <c r="G376" s="1" t="str">
        <f>_xlfn.XLOOKUP(D376,Products!A:A,Products!C:C,"MISSING")</f>
        <v>Furniture</v>
      </c>
      <c r="H376" s="1">
        <f>_xlfn.XLOOKUP(D376,Products!A:A,Products!D:D,"MISSING")</f>
        <v>7000</v>
      </c>
      <c r="I376" s="1" t="str">
        <f t="shared" si="10"/>
        <v>Jan</v>
      </c>
      <c r="J376" s="1">
        <f t="shared" si="11"/>
        <v>21000</v>
      </c>
      <c r="K376" s="1" t="str">
        <f>_xlfn.XLOOKUP(C376,Customers!A:A,Customers!B:B,"MISSING")</f>
        <v>Priya Kapoor</v>
      </c>
      <c r="L376" s="1" t="str">
        <f>_xlfn.XLOOKUP(D376,Products!A:A,Products!B:B,"MISSING")</f>
        <v>Table</v>
      </c>
    </row>
    <row r="377" spans="1:12">
      <c r="A377" s="1">
        <v>1376</v>
      </c>
      <c r="B377" s="1" t="s">
        <v>403</v>
      </c>
      <c r="C377" s="1" t="s">
        <v>40</v>
      </c>
      <c r="D377" s="1" t="s">
        <v>137</v>
      </c>
      <c r="E377" s="1">
        <v>5</v>
      </c>
      <c r="F377" s="1" t="str">
        <f>_xlfn.XLOOKUP(C377,Customers!A:A,Customers!C:C,"MISSING")</f>
        <v>Ahmedabad</v>
      </c>
      <c r="G377" s="1" t="str">
        <f>_xlfn.XLOOKUP(D377,Products!A:A,Products!C:C,"MISSING")</f>
        <v>Electronics</v>
      </c>
      <c r="H377" s="1">
        <f>_xlfn.XLOOKUP(D377,Products!A:A,Products!D:D,"MISSING")</f>
        <v>50000</v>
      </c>
      <c r="I377" s="1" t="str">
        <f t="shared" si="10"/>
        <v>Oct</v>
      </c>
      <c r="J377" s="1">
        <f t="shared" si="11"/>
        <v>250000</v>
      </c>
      <c r="K377" s="1" t="str">
        <f>_xlfn.XLOOKUP(C377,Customers!A:A,Customers!B:B,"MISSING")</f>
        <v>Neha Singh</v>
      </c>
      <c r="L377" s="1" t="str">
        <f>_xlfn.XLOOKUP(D377,Products!A:A,Products!B:B,"MISSING")</f>
        <v>Laptop</v>
      </c>
    </row>
    <row r="378" spans="1:12">
      <c r="A378" s="1">
        <v>1377</v>
      </c>
      <c r="B378" s="1" t="s">
        <v>178</v>
      </c>
      <c r="C378" s="1" t="s">
        <v>129</v>
      </c>
      <c r="D378" s="1" t="s">
        <v>142</v>
      </c>
      <c r="E378" s="1">
        <v>4</v>
      </c>
      <c r="F378" s="1" t="str">
        <f>_xlfn.XLOOKUP(C378,Customers!A:A,Customers!C:C,"MISSING")</f>
        <v>Chennai</v>
      </c>
      <c r="G378" s="1" t="str">
        <f>_xlfn.XLOOKUP(D378,Products!A:A,Products!C:C,"MISSING")</f>
        <v>Electronics</v>
      </c>
      <c r="H378" s="1">
        <f>_xlfn.XLOOKUP(D378,Products!A:A,Products!D:D,"MISSING")</f>
        <v>15000</v>
      </c>
      <c r="I378" s="1" t="str">
        <f t="shared" si="10"/>
        <v>Jul</v>
      </c>
      <c r="J378" s="1">
        <f t="shared" si="11"/>
        <v>60000</v>
      </c>
      <c r="K378" s="1" t="str">
        <f>_xlfn.XLOOKUP(C378,Customers!A:A,Customers!B:B,"MISSING")</f>
        <v>Neha Singh</v>
      </c>
      <c r="L378" s="1" t="str">
        <f>_xlfn.XLOOKUP(D378,Products!A:A,Products!B:B,"MISSING")</f>
        <v>Tablet</v>
      </c>
    </row>
    <row r="379" spans="1:12">
      <c r="A379" s="1">
        <v>1378</v>
      </c>
      <c r="B379" s="1" t="s">
        <v>262</v>
      </c>
      <c r="C379" s="1" t="s">
        <v>63</v>
      </c>
      <c r="D379" s="1" t="s">
        <v>151</v>
      </c>
      <c r="E379" s="1">
        <v>4</v>
      </c>
      <c r="F379" s="1" t="str">
        <f>_xlfn.XLOOKUP(C379,Customers!A:A,Customers!C:C,"MISSING")</f>
        <v>Delhi</v>
      </c>
      <c r="G379" s="1" t="str">
        <f>_xlfn.XLOOKUP(D379,Products!A:A,Products!C:C,"MISSING")</f>
        <v>Clothing</v>
      </c>
      <c r="H379" s="1">
        <f>_xlfn.XLOOKUP(D379,Products!A:A,Products!D:D,"MISSING")</f>
        <v>1500</v>
      </c>
      <c r="I379" s="1" t="str">
        <f t="shared" si="10"/>
        <v>Jun</v>
      </c>
      <c r="J379" s="1">
        <f t="shared" si="11"/>
        <v>6000</v>
      </c>
      <c r="K379" s="1" t="str">
        <f>_xlfn.XLOOKUP(C379,Customers!A:A,Customers!B:B,"MISSING")</f>
        <v>Vikas Nair</v>
      </c>
      <c r="L379" s="1" t="str">
        <f>_xlfn.XLOOKUP(D379,Products!A:A,Products!B:B,"MISSING")</f>
        <v>T-Shirt</v>
      </c>
    </row>
    <row r="380" spans="1:12">
      <c r="A380" s="1">
        <v>1379</v>
      </c>
      <c r="B380" s="1" t="s">
        <v>193</v>
      </c>
      <c r="C380" s="1" t="s">
        <v>57</v>
      </c>
      <c r="D380" s="1" t="s">
        <v>149</v>
      </c>
      <c r="E380" s="1">
        <v>1</v>
      </c>
      <c r="F380" s="1" t="str">
        <f>_xlfn.XLOOKUP(C380,Customers!A:A,Customers!C:C,"MISSING")</f>
        <v>Jaipur</v>
      </c>
      <c r="G380" s="1" t="str">
        <f>_xlfn.XLOOKUP(D380,Products!A:A,Products!C:C,"MISSING")</f>
        <v>Furniture</v>
      </c>
      <c r="H380" s="1">
        <f>_xlfn.XLOOKUP(D380,Products!A:A,Products!D:D,"MISSING")</f>
        <v>25000</v>
      </c>
      <c r="I380" s="1" t="str">
        <f t="shared" si="10"/>
        <v>Apr</v>
      </c>
      <c r="J380" s="1">
        <f t="shared" si="11"/>
        <v>25000</v>
      </c>
      <c r="K380" s="1" t="str">
        <f>_xlfn.XLOOKUP(C380,Customers!A:A,Customers!B:B,"MISSING")</f>
        <v>Manav Arora</v>
      </c>
      <c r="L380" s="1" t="str">
        <f>_xlfn.XLOOKUP(D380,Products!A:A,Products!B:B,"MISSING")</f>
        <v>Sofa</v>
      </c>
    </row>
    <row r="381" spans="1:12">
      <c r="A381" s="1">
        <v>1380</v>
      </c>
      <c r="B381" s="1" t="s">
        <v>243</v>
      </c>
      <c r="C381" s="1" t="s">
        <v>51</v>
      </c>
      <c r="D381" s="1" t="s">
        <v>154</v>
      </c>
      <c r="E381" s="1">
        <v>1</v>
      </c>
      <c r="F381" s="1" t="str">
        <f>_xlfn.XLOOKUP(C381,Customers!A:A,Customers!C:C,"MISSING")</f>
        <v>Mumbai</v>
      </c>
      <c r="G381" s="1" t="str">
        <f>_xlfn.XLOOKUP(D381,Products!A:A,Products!C:C,"MISSING")</f>
        <v>Clothing</v>
      </c>
      <c r="H381" s="1">
        <f>_xlfn.XLOOKUP(D381,Products!A:A,Products!D:D,"MISSING")</f>
        <v>2500</v>
      </c>
      <c r="I381" s="1" t="str">
        <f t="shared" si="10"/>
        <v>Jul</v>
      </c>
      <c r="J381" s="1">
        <f t="shared" si="11"/>
        <v>2500</v>
      </c>
      <c r="K381" s="1" t="str">
        <f>_xlfn.XLOOKUP(C381,Customers!A:A,Customers!B:B,"MISSING")</f>
        <v>Rahul Sharma</v>
      </c>
      <c r="L381" s="1" t="str">
        <f>_xlfn.XLOOKUP(D381,Products!A:A,Products!B:B,"MISSING")</f>
        <v>Jeans</v>
      </c>
    </row>
    <row r="382" spans="1:12">
      <c r="A382" s="1">
        <v>1381</v>
      </c>
      <c r="B382" s="1" t="s">
        <v>255</v>
      </c>
      <c r="C382" s="1" t="s">
        <v>20</v>
      </c>
      <c r="D382" s="1" t="s">
        <v>156</v>
      </c>
      <c r="E382" s="1">
        <v>1</v>
      </c>
      <c r="F382" s="1" t="str">
        <f>_xlfn.XLOOKUP(C382,Customers!A:A,Customers!C:C,"MISSING")</f>
        <v>Bangalore</v>
      </c>
      <c r="G382" s="1" t="str">
        <f>_xlfn.XLOOKUP(D382,Products!A:A,Products!C:C,"MISSING")</f>
        <v>Clothing</v>
      </c>
      <c r="H382" s="1">
        <f>_xlfn.XLOOKUP(D382,Products!A:A,Products!D:D,"MISSING")</f>
        <v>1800</v>
      </c>
      <c r="I382" s="1" t="str">
        <f t="shared" si="10"/>
        <v>Sep</v>
      </c>
      <c r="J382" s="1">
        <f t="shared" si="11"/>
        <v>1800</v>
      </c>
      <c r="K382" s="1" t="str">
        <f>_xlfn.XLOOKUP(C382,Customers!A:A,Customers!B:B,"MISSING")</f>
        <v>Komal Gupta</v>
      </c>
      <c r="L382" s="1" t="str">
        <f>_xlfn.XLOOKUP(D382,Products!A:A,Products!B:B,"MISSING")</f>
        <v>Shirt</v>
      </c>
    </row>
    <row r="383" spans="1:12">
      <c r="A383" s="1">
        <v>1382</v>
      </c>
      <c r="B383" s="1" t="s">
        <v>297</v>
      </c>
      <c r="C383" s="1" t="s">
        <v>125</v>
      </c>
      <c r="D383" s="1" t="s">
        <v>156</v>
      </c>
      <c r="E383" s="1">
        <v>3</v>
      </c>
      <c r="F383" s="1" t="str">
        <f>_xlfn.XLOOKUP(C383,Customers!A:A,Customers!C:C,"MISSING")</f>
        <v>Pune</v>
      </c>
      <c r="G383" s="1" t="str">
        <f>_xlfn.XLOOKUP(D383,Products!A:A,Products!C:C,"MISSING")</f>
        <v>Clothing</v>
      </c>
      <c r="H383" s="1">
        <f>_xlfn.XLOOKUP(D383,Products!A:A,Products!D:D,"MISSING")</f>
        <v>1800</v>
      </c>
      <c r="I383" s="1" t="str">
        <f t="shared" si="10"/>
        <v>Apr</v>
      </c>
      <c r="J383" s="1">
        <f t="shared" si="11"/>
        <v>5400</v>
      </c>
      <c r="K383" s="1" t="str">
        <f>_xlfn.XLOOKUP(C383,Customers!A:A,Customers!B:B,"MISSING")</f>
        <v>Sneha Iyer</v>
      </c>
      <c r="L383" s="1" t="str">
        <f>_xlfn.XLOOKUP(D383,Products!A:A,Products!B:B,"MISSING")</f>
        <v>Shirt</v>
      </c>
    </row>
    <row r="384" spans="1:12">
      <c r="A384" s="1">
        <v>1383</v>
      </c>
      <c r="B384" s="1" t="s">
        <v>298</v>
      </c>
      <c r="C384" s="1" t="s">
        <v>51</v>
      </c>
      <c r="D384" s="1" t="s">
        <v>137</v>
      </c>
      <c r="E384" s="1">
        <v>2</v>
      </c>
      <c r="F384" s="1" t="str">
        <f>_xlfn.XLOOKUP(C384,Customers!A:A,Customers!C:C,"MISSING")</f>
        <v>Mumbai</v>
      </c>
      <c r="G384" s="1" t="str">
        <f>_xlfn.XLOOKUP(D384,Products!A:A,Products!C:C,"MISSING")</f>
        <v>Electronics</v>
      </c>
      <c r="H384" s="1">
        <f>_xlfn.XLOOKUP(D384,Products!A:A,Products!D:D,"MISSING")</f>
        <v>50000</v>
      </c>
      <c r="I384" s="1" t="str">
        <f t="shared" si="10"/>
        <v>Feb</v>
      </c>
      <c r="J384" s="1">
        <f t="shared" si="11"/>
        <v>100000</v>
      </c>
      <c r="K384" s="1" t="str">
        <f>_xlfn.XLOOKUP(C384,Customers!A:A,Customers!B:B,"MISSING")</f>
        <v>Rahul Sharma</v>
      </c>
      <c r="L384" s="1" t="str">
        <f>_xlfn.XLOOKUP(D384,Products!A:A,Products!B:B,"MISSING")</f>
        <v>Laptop</v>
      </c>
    </row>
    <row r="385" spans="1:12">
      <c r="A385" s="1">
        <v>1384</v>
      </c>
      <c r="B385" s="1" t="s">
        <v>201</v>
      </c>
      <c r="C385" s="1" t="s">
        <v>38</v>
      </c>
      <c r="D385" s="1" t="s">
        <v>144</v>
      </c>
      <c r="E385" s="1">
        <v>2</v>
      </c>
      <c r="F385" s="1" t="str">
        <f>_xlfn.XLOOKUP(C385,Customers!A:A,Customers!C:C,"MISSING")</f>
        <v>Kolkata</v>
      </c>
      <c r="G385" s="1" t="str">
        <f>_xlfn.XLOOKUP(D385,Products!A:A,Products!C:C,"MISSING")</f>
        <v>Furniture</v>
      </c>
      <c r="H385" s="1">
        <f>_xlfn.XLOOKUP(D385,Products!A:A,Products!D:D,"MISSING")</f>
        <v>3000</v>
      </c>
      <c r="I385" s="1" t="str">
        <f t="shared" si="10"/>
        <v>Jul</v>
      </c>
      <c r="J385" s="1">
        <f t="shared" si="11"/>
        <v>6000</v>
      </c>
      <c r="K385" s="1" t="str">
        <f>_xlfn.XLOOKUP(C385,Customers!A:A,Customers!B:B,"MISSING")</f>
        <v>Tanya Sethi</v>
      </c>
      <c r="L385" s="1" t="str">
        <f>_xlfn.XLOOKUP(D385,Products!A:A,Products!B:B,"MISSING")</f>
        <v>Chair</v>
      </c>
    </row>
    <row r="386" spans="1:12">
      <c r="A386" s="1">
        <v>1385</v>
      </c>
      <c r="B386" s="1" t="s">
        <v>391</v>
      </c>
      <c r="C386" s="1" t="s">
        <v>117</v>
      </c>
      <c r="D386" s="1" t="s">
        <v>142</v>
      </c>
      <c r="E386" s="1">
        <v>1</v>
      </c>
      <c r="F386" s="1" t="str">
        <f>_xlfn.XLOOKUP(C386,Customers!A:A,Customers!C:C,"MISSING")</f>
        <v>Kolkata</v>
      </c>
      <c r="G386" s="1" t="str">
        <f>_xlfn.XLOOKUP(D386,Products!A:A,Products!C:C,"MISSING")</f>
        <v>Electronics</v>
      </c>
      <c r="H386" s="1">
        <f>_xlfn.XLOOKUP(D386,Products!A:A,Products!D:D,"MISSING")</f>
        <v>15000</v>
      </c>
      <c r="I386" s="1" t="str">
        <f t="shared" si="10"/>
        <v>Jun</v>
      </c>
      <c r="J386" s="1">
        <f t="shared" si="11"/>
        <v>15000</v>
      </c>
      <c r="K386" s="1" t="str">
        <f>_xlfn.XLOOKUP(C386,Customers!A:A,Customers!B:B,"MISSING")</f>
        <v>Tanya Sethi</v>
      </c>
      <c r="L386" s="1" t="str">
        <f>_xlfn.XLOOKUP(D386,Products!A:A,Products!B:B,"MISSING")</f>
        <v>Tablet</v>
      </c>
    </row>
    <row r="387" spans="1:12">
      <c r="A387" s="1">
        <v>1386</v>
      </c>
      <c r="B387" s="1" t="s">
        <v>404</v>
      </c>
      <c r="C387" s="1" t="s">
        <v>46</v>
      </c>
      <c r="D387" s="1" t="s">
        <v>140</v>
      </c>
      <c r="E387" s="1">
        <v>4</v>
      </c>
      <c r="F387" s="1" t="str">
        <f>_xlfn.XLOOKUP(C387,Customers!A:A,Customers!C:C,"MISSING")</f>
        <v>Bangalore</v>
      </c>
      <c r="G387" s="1" t="str">
        <f>_xlfn.XLOOKUP(D387,Products!A:A,Products!C:C,"MISSING")</f>
        <v>Electronics</v>
      </c>
      <c r="H387" s="1">
        <f>_xlfn.XLOOKUP(D387,Products!A:A,Products!D:D,"MISSING")</f>
        <v>20000</v>
      </c>
      <c r="I387" s="1" t="str">
        <f t="shared" ref="I387:I450" si="12">TEXT(B387,"mmm")</f>
        <v>Dec</v>
      </c>
      <c r="J387" s="1">
        <f t="shared" ref="J387:J450" si="13">E387*H387</f>
        <v>80000</v>
      </c>
      <c r="K387" s="1" t="str">
        <f>_xlfn.XLOOKUP(C387,Customers!A:A,Customers!B:B,"MISSING")</f>
        <v>Manav Arora</v>
      </c>
      <c r="L387" s="1" t="str">
        <f>_xlfn.XLOOKUP(D387,Products!A:A,Products!B:B,"MISSING")</f>
        <v>Mobile</v>
      </c>
    </row>
    <row r="388" spans="1:12">
      <c r="A388" s="1">
        <v>1387</v>
      </c>
      <c r="B388" s="1" t="s">
        <v>405</v>
      </c>
      <c r="C388" s="1" t="s">
        <v>99</v>
      </c>
      <c r="D388" s="1" t="s">
        <v>137</v>
      </c>
      <c r="E388" s="1">
        <v>1</v>
      </c>
      <c r="F388" s="1" t="str">
        <f>_xlfn.XLOOKUP(C388,Customers!A:A,Customers!C:C,"MISSING")</f>
        <v>Pune</v>
      </c>
      <c r="G388" s="1" t="str">
        <f>_xlfn.XLOOKUP(D388,Products!A:A,Products!C:C,"MISSING")</f>
        <v>Electronics</v>
      </c>
      <c r="H388" s="1">
        <f>_xlfn.XLOOKUP(D388,Products!A:A,Products!D:D,"MISSING")</f>
        <v>50000</v>
      </c>
      <c r="I388" s="1" t="str">
        <f t="shared" si="12"/>
        <v>May</v>
      </c>
      <c r="J388" s="1">
        <f t="shared" si="13"/>
        <v>50000</v>
      </c>
      <c r="K388" s="1" t="str">
        <f>_xlfn.XLOOKUP(C388,Customers!A:A,Customers!B:B,"MISSING")</f>
        <v>Rohit Sen</v>
      </c>
      <c r="L388" s="1" t="str">
        <f>_xlfn.XLOOKUP(D388,Products!A:A,Products!B:B,"MISSING")</f>
        <v>Laptop</v>
      </c>
    </row>
    <row r="389" spans="1:12">
      <c r="A389" s="1">
        <v>1388</v>
      </c>
      <c r="B389" s="1" t="s">
        <v>406</v>
      </c>
      <c r="C389" s="1" t="s">
        <v>129</v>
      </c>
      <c r="D389" s="1" t="s">
        <v>151</v>
      </c>
      <c r="E389" s="1">
        <v>3</v>
      </c>
      <c r="F389" s="1" t="str">
        <f>_xlfn.XLOOKUP(C389,Customers!A:A,Customers!C:C,"MISSING")</f>
        <v>Chennai</v>
      </c>
      <c r="G389" s="1" t="str">
        <f>_xlfn.XLOOKUP(D389,Products!A:A,Products!C:C,"MISSING")</f>
        <v>Clothing</v>
      </c>
      <c r="H389" s="1">
        <f>_xlfn.XLOOKUP(D389,Products!A:A,Products!D:D,"MISSING")</f>
        <v>1500</v>
      </c>
      <c r="I389" s="1" t="str">
        <f t="shared" si="12"/>
        <v>May</v>
      </c>
      <c r="J389" s="1">
        <f t="shared" si="13"/>
        <v>4500</v>
      </c>
      <c r="K389" s="1" t="str">
        <f>_xlfn.XLOOKUP(C389,Customers!A:A,Customers!B:B,"MISSING")</f>
        <v>Neha Singh</v>
      </c>
      <c r="L389" s="1" t="str">
        <f>_xlfn.XLOOKUP(D389,Products!A:A,Products!B:B,"MISSING")</f>
        <v>T-Shirt</v>
      </c>
    </row>
    <row r="390" spans="1:12">
      <c r="A390" s="1">
        <v>1389</v>
      </c>
      <c r="B390" s="1" t="s">
        <v>171</v>
      </c>
      <c r="C390" s="1" t="s">
        <v>130</v>
      </c>
      <c r="D390" s="1" t="s">
        <v>154</v>
      </c>
      <c r="E390" s="1">
        <v>2</v>
      </c>
      <c r="F390" s="1" t="str">
        <f>_xlfn.XLOOKUP(C390,Customers!A:A,Customers!C:C,"MISSING")</f>
        <v>Mumbai</v>
      </c>
      <c r="G390" s="1" t="str">
        <f>_xlfn.XLOOKUP(D390,Products!A:A,Products!C:C,"MISSING")</f>
        <v>Clothing</v>
      </c>
      <c r="H390" s="1">
        <f>_xlfn.XLOOKUP(D390,Products!A:A,Products!D:D,"MISSING")</f>
        <v>2500</v>
      </c>
      <c r="I390" s="1" t="str">
        <f t="shared" si="12"/>
        <v>May</v>
      </c>
      <c r="J390" s="1">
        <f t="shared" si="13"/>
        <v>5000</v>
      </c>
      <c r="K390" s="1" t="str">
        <f>_xlfn.XLOOKUP(C390,Customers!A:A,Customers!B:B,"MISSING")</f>
        <v>Karan Mehta</v>
      </c>
      <c r="L390" s="1" t="str">
        <f>_xlfn.XLOOKUP(D390,Products!A:A,Products!B:B,"MISSING")</f>
        <v>Jeans</v>
      </c>
    </row>
    <row r="391" spans="1:12">
      <c r="A391" s="1">
        <v>1390</v>
      </c>
      <c r="B391" s="1" t="s">
        <v>407</v>
      </c>
      <c r="C391" s="1" t="s">
        <v>47</v>
      </c>
      <c r="D391" s="1" t="s">
        <v>144</v>
      </c>
      <c r="E391" s="1">
        <v>2</v>
      </c>
      <c r="F391" s="1" t="str">
        <f>_xlfn.XLOOKUP(C391,Customers!A:A,Customers!C:C,"MISSING")</f>
        <v>Mumbai</v>
      </c>
      <c r="G391" s="1" t="str">
        <f>_xlfn.XLOOKUP(D391,Products!A:A,Products!C:C,"MISSING")</f>
        <v>Furniture</v>
      </c>
      <c r="H391" s="1">
        <f>_xlfn.XLOOKUP(D391,Products!A:A,Products!D:D,"MISSING")</f>
        <v>3000</v>
      </c>
      <c r="I391" s="1" t="str">
        <f t="shared" si="12"/>
        <v>Feb</v>
      </c>
      <c r="J391" s="1">
        <f t="shared" si="13"/>
        <v>6000</v>
      </c>
      <c r="K391" s="1" t="str">
        <f>_xlfn.XLOOKUP(C391,Customers!A:A,Customers!B:B,"MISSING")</f>
        <v>Amit Verma</v>
      </c>
      <c r="L391" s="1" t="str">
        <f>_xlfn.XLOOKUP(D391,Products!A:A,Products!B:B,"MISSING")</f>
        <v>Chair</v>
      </c>
    </row>
    <row r="392" spans="1:12">
      <c r="A392" s="1">
        <v>1391</v>
      </c>
      <c r="B392" s="1" t="s">
        <v>408</v>
      </c>
      <c r="C392" s="1" t="s">
        <v>70</v>
      </c>
      <c r="D392" s="1" t="s">
        <v>151</v>
      </c>
      <c r="E392" s="1">
        <v>4</v>
      </c>
      <c r="F392" s="1" t="str">
        <f>_xlfn.XLOOKUP(C392,Customers!A:A,Customers!C:C,"MISSING")</f>
        <v>Delhi</v>
      </c>
      <c r="G392" s="1" t="str">
        <f>_xlfn.XLOOKUP(D392,Products!A:A,Products!C:C,"MISSING")</f>
        <v>Clothing</v>
      </c>
      <c r="H392" s="1">
        <f>_xlfn.XLOOKUP(D392,Products!A:A,Products!D:D,"MISSING")</f>
        <v>1500</v>
      </c>
      <c r="I392" s="1" t="str">
        <f t="shared" si="12"/>
        <v>Apr</v>
      </c>
      <c r="J392" s="1">
        <f t="shared" si="13"/>
        <v>6000</v>
      </c>
      <c r="K392" s="1" t="str">
        <f>_xlfn.XLOOKUP(C392,Customers!A:A,Customers!B:B,"MISSING")</f>
        <v>Amit Verma</v>
      </c>
      <c r="L392" s="1" t="str">
        <f>_xlfn.XLOOKUP(D392,Products!A:A,Products!B:B,"MISSING")</f>
        <v>T-Shirt</v>
      </c>
    </row>
    <row r="393" spans="1:12">
      <c r="A393" s="1">
        <v>1392</v>
      </c>
      <c r="B393" s="1" t="s">
        <v>244</v>
      </c>
      <c r="C393" s="1" t="s">
        <v>68</v>
      </c>
      <c r="D393" s="1" t="s">
        <v>142</v>
      </c>
      <c r="E393" s="1">
        <v>2</v>
      </c>
      <c r="F393" s="1" t="str">
        <f>_xlfn.XLOOKUP(C393,Customers!A:A,Customers!C:C,"MISSING")</f>
        <v>Pune</v>
      </c>
      <c r="G393" s="1" t="str">
        <f>_xlfn.XLOOKUP(D393,Products!A:A,Products!C:C,"MISSING")</f>
        <v>Electronics</v>
      </c>
      <c r="H393" s="1">
        <f>_xlfn.XLOOKUP(D393,Products!A:A,Products!D:D,"MISSING")</f>
        <v>15000</v>
      </c>
      <c r="I393" s="1" t="str">
        <f t="shared" si="12"/>
        <v>Nov</v>
      </c>
      <c r="J393" s="1">
        <f t="shared" si="13"/>
        <v>30000</v>
      </c>
      <c r="K393" s="1" t="str">
        <f>_xlfn.XLOOKUP(C393,Customers!A:A,Customers!B:B,"MISSING")</f>
        <v>Arjun Malhotra</v>
      </c>
      <c r="L393" s="1" t="str">
        <f>_xlfn.XLOOKUP(D393,Products!A:A,Products!B:B,"MISSING")</f>
        <v>Tablet</v>
      </c>
    </row>
    <row r="394" spans="1:12">
      <c r="A394" s="1">
        <v>1393</v>
      </c>
      <c r="B394" s="1" t="s">
        <v>291</v>
      </c>
      <c r="C394" s="1" t="s">
        <v>98</v>
      </c>
      <c r="D394" s="1" t="s">
        <v>151</v>
      </c>
      <c r="E394" s="1">
        <v>1</v>
      </c>
      <c r="F394" s="1" t="str">
        <f>_xlfn.XLOOKUP(C394,Customers!A:A,Customers!C:C,"MISSING")</f>
        <v>Bangalore</v>
      </c>
      <c r="G394" s="1" t="str">
        <f>_xlfn.XLOOKUP(D394,Products!A:A,Products!C:C,"MISSING")</f>
        <v>Clothing</v>
      </c>
      <c r="H394" s="1">
        <f>_xlfn.XLOOKUP(D394,Products!A:A,Products!D:D,"MISSING")</f>
        <v>1500</v>
      </c>
      <c r="I394" s="1" t="str">
        <f t="shared" si="12"/>
        <v>Dec</v>
      </c>
      <c r="J394" s="1">
        <f t="shared" si="13"/>
        <v>1500</v>
      </c>
      <c r="K394" s="1" t="str">
        <f>_xlfn.XLOOKUP(C394,Customers!A:A,Customers!B:B,"MISSING")</f>
        <v>Pooja Jain</v>
      </c>
      <c r="L394" s="1" t="str">
        <f>_xlfn.XLOOKUP(D394,Products!A:A,Products!B:B,"MISSING")</f>
        <v>T-Shirt</v>
      </c>
    </row>
    <row r="395" spans="1:12">
      <c r="A395" s="1">
        <v>1394</v>
      </c>
      <c r="B395" s="1" t="s">
        <v>409</v>
      </c>
      <c r="C395" s="1" t="s">
        <v>103</v>
      </c>
      <c r="D395" s="1" t="s">
        <v>144</v>
      </c>
      <c r="E395" s="1">
        <v>3</v>
      </c>
      <c r="F395" s="1" t="str">
        <f>_xlfn.XLOOKUP(C395,Customers!A:A,Customers!C:C,"MISSING")</f>
        <v>Bangalore</v>
      </c>
      <c r="G395" s="1" t="str">
        <f>_xlfn.XLOOKUP(D395,Products!A:A,Products!C:C,"MISSING")</f>
        <v>Furniture</v>
      </c>
      <c r="H395" s="1">
        <f>_xlfn.XLOOKUP(D395,Products!A:A,Products!D:D,"MISSING")</f>
        <v>3000</v>
      </c>
      <c r="I395" s="1" t="str">
        <f t="shared" si="12"/>
        <v>May</v>
      </c>
      <c r="J395" s="1">
        <f t="shared" si="13"/>
        <v>9000</v>
      </c>
      <c r="K395" s="1" t="str">
        <f>_xlfn.XLOOKUP(C395,Customers!A:A,Customers!B:B,"MISSING")</f>
        <v>Neha Singh</v>
      </c>
      <c r="L395" s="1" t="str">
        <f>_xlfn.XLOOKUP(D395,Products!A:A,Products!B:B,"MISSING")</f>
        <v>Chair</v>
      </c>
    </row>
    <row r="396" spans="1:12">
      <c r="A396" s="1">
        <v>1395</v>
      </c>
      <c r="B396" s="1" t="s">
        <v>410</v>
      </c>
      <c r="C396" s="1" t="s">
        <v>131</v>
      </c>
      <c r="D396" s="1" t="s">
        <v>156</v>
      </c>
      <c r="E396" s="1">
        <v>2</v>
      </c>
      <c r="F396" s="1" t="str">
        <f>_xlfn.XLOOKUP(C396,Customers!A:A,Customers!C:C,"MISSING")</f>
        <v>Bangalore</v>
      </c>
      <c r="G396" s="1" t="str">
        <f>_xlfn.XLOOKUP(D396,Products!A:A,Products!C:C,"MISSING")</f>
        <v>Clothing</v>
      </c>
      <c r="H396" s="1">
        <f>_xlfn.XLOOKUP(D396,Products!A:A,Products!D:D,"MISSING")</f>
        <v>1800</v>
      </c>
      <c r="I396" s="1" t="str">
        <f t="shared" si="12"/>
        <v>Aug</v>
      </c>
      <c r="J396" s="1">
        <f t="shared" si="13"/>
        <v>3600</v>
      </c>
      <c r="K396" s="1" t="str">
        <f>_xlfn.XLOOKUP(C396,Customers!A:A,Customers!B:B,"MISSING")</f>
        <v>Priya Kapoor</v>
      </c>
      <c r="L396" s="1" t="str">
        <f>_xlfn.XLOOKUP(D396,Products!A:A,Products!B:B,"MISSING")</f>
        <v>Shirt</v>
      </c>
    </row>
    <row r="397" spans="1:12">
      <c r="A397" s="1">
        <v>1396</v>
      </c>
      <c r="B397" s="1" t="s">
        <v>370</v>
      </c>
      <c r="C397" s="1" t="s">
        <v>16</v>
      </c>
      <c r="D397" s="1" t="s">
        <v>137</v>
      </c>
      <c r="E397" s="1">
        <v>3</v>
      </c>
      <c r="F397" s="1" t="str">
        <f>_xlfn.XLOOKUP(C397,Customers!A:A,Customers!C:C,"MISSING")</f>
        <v>Hyderabad</v>
      </c>
      <c r="G397" s="1" t="str">
        <f>_xlfn.XLOOKUP(D397,Products!A:A,Products!C:C,"MISSING")</f>
        <v>Electronics</v>
      </c>
      <c r="H397" s="1">
        <f>_xlfn.XLOOKUP(D397,Products!A:A,Products!D:D,"MISSING")</f>
        <v>50000</v>
      </c>
      <c r="I397" s="1" t="str">
        <f t="shared" si="12"/>
        <v>Nov</v>
      </c>
      <c r="J397" s="1">
        <f t="shared" si="13"/>
        <v>150000</v>
      </c>
      <c r="K397" s="1" t="str">
        <f>_xlfn.XLOOKUP(C397,Customers!A:A,Customers!B:B,"MISSING")</f>
        <v>Rahul Sharma</v>
      </c>
      <c r="L397" s="1" t="str">
        <f>_xlfn.XLOOKUP(D397,Products!A:A,Products!B:B,"MISSING")</f>
        <v>Laptop</v>
      </c>
    </row>
    <row r="398" spans="1:12">
      <c r="A398" s="1">
        <v>1397</v>
      </c>
      <c r="B398" s="1" t="s">
        <v>411</v>
      </c>
      <c r="C398" s="1" t="s">
        <v>3</v>
      </c>
      <c r="D398" s="1" t="s">
        <v>144</v>
      </c>
      <c r="E398" s="1">
        <v>1</v>
      </c>
      <c r="F398" s="1" t="str">
        <f>_xlfn.XLOOKUP(C398,Customers!A:A,Customers!C:C,"MISSING")</f>
        <v>Lucknow</v>
      </c>
      <c r="G398" s="1" t="str">
        <f>_xlfn.XLOOKUP(D398,Products!A:A,Products!C:C,"MISSING")</f>
        <v>Furniture</v>
      </c>
      <c r="H398" s="1">
        <f>_xlfn.XLOOKUP(D398,Products!A:A,Products!D:D,"MISSING")</f>
        <v>3000</v>
      </c>
      <c r="I398" s="1" t="str">
        <f t="shared" si="12"/>
        <v>Dec</v>
      </c>
      <c r="J398" s="1">
        <f t="shared" si="13"/>
        <v>3000</v>
      </c>
      <c r="K398" s="1" t="str">
        <f>_xlfn.XLOOKUP(C398,Customers!A:A,Customers!B:B,"MISSING")</f>
        <v>Amit Verma</v>
      </c>
      <c r="L398" s="1" t="str">
        <f>_xlfn.XLOOKUP(D398,Products!A:A,Products!B:B,"MISSING")</f>
        <v>Chair</v>
      </c>
    </row>
    <row r="399" spans="1:12">
      <c r="A399" s="1">
        <v>1398</v>
      </c>
      <c r="B399" s="1" t="s">
        <v>412</v>
      </c>
      <c r="C399" s="1" t="s">
        <v>116</v>
      </c>
      <c r="D399" s="1" t="s">
        <v>140</v>
      </c>
      <c r="E399" s="1">
        <v>5</v>
      </c>
      <c r="F399" s="1" t="str">
        <f>_xlfn.XLOOKUP(C399,Customers!A:A,Customers!C:C,"MISSING")</f>
        <v>Kolkata</v>
      </c>
      <c r="G399" s="1" t="str">
        <f>_xlfn.XLOOKUP(D399,Products!A:A,Products!C:C,"MISSING")</f>
        <v>Electronics</v>
      </c>
      <c r="H399" s="1">
        <f>_xlfn.XLOOKUP(D399,Products!A:A,Products!D:D,"MISSING")</f>
        <v>20000</v>
      </c>
      <c r="I399" s="1" t="str">
        <f t="shared" si="12"/>
        <v>Oct</v>
      </c>
      <c r="J399" s="1">
        <f t="shared" si="13"/>
        <v>100000</v>
      </c>
      <c r="K399" s="1" t="str">
        <f>_xlfn.XLOOKUP(C399,Customers!A:A,Customers!B:B,"MISSING")</f>
        <v>Tanya Sethi</v>
      </c>
      <c r="L399" s="1" t="str">
        <f>_xlfn.XLOOKUP(D399,Products!A:A,Products!B:B,"MISSING")</f>
        <v>Mobile</v>
      </c>
    </row>
    <row r="400" spans="1:12">
      <c r="A400" s="1">
        <v>1399</v>
      </c>
      <c r="B400" s="1" t="s">
        <v>379</v>
      </c>
      <c r="C400" s="1" t="s">
        <v>131</v>
      </c>
      <c r="D400" s="1" t="s">
        <v>137</v>
      </c>
      <c r="E400" s="1">
        <v>3</v>
      </c>
      <c r="F400" s="1" t="str">
        <f>_xlfn.XLOOKUP(C400,Customers!A:A,Customers!C:C,"MISSING")</f>
        <v>Bangalore</v>
      </c>
      <c r="G400" s="1" t="str">
        <f>_xlfn.XLOOKUP(D400,Products!A:A,Products!C:C,"MISSING")</f>
        <v>Electronics</v>
      </c>
      <c r="H400" s="1">
        <f>_xlfn.XLOOKUP(D400,Products!A:A,Products!D:D,"MISSING")</f>
        <v>50000</v>
      </c>
      <c r="I400" s="1" t="str">
        <f t="shared" si="12"/>
        <v>Aug</v>
      </c>
      <c r="J400" s="1">
        <f t="shared" si="13"/>
        <v>150000</v>
      </c>
      <c r="K400" s="1" t="str">
        <f>_xlfn.XLOOKUP(C400,Customers!A:A,Customers!B:B,"MISSING")</f>
        <v>Priya Kapoor</v>
      </c>
      <c r="L400" s="1" t="str">
        <f>_xlfn.XLOOKUP(D400,Products!A:A,Products!B:B,"MISSING")</f>
        <v>Laptop</v>
      </c>
    </row>
    <row r="401" spans="1:12">
      <c r="A401" s="1">
        <v>1400</v>
      </c>
      <c r="B401" s="1" t="s">
        <v>413</v>
      </c>
      <c r="C401" s="1" t="s">
        <v>39</v>
      </c>
      <c r="D401" s="1" t="s">
        <v>140</v>
      </c>
      <c r="E401" s="1">
        <v>3</v>
      </c>
      <c r="F401" s="1" t="str">
        <f>_xlfn.XLOOKUP(C401,Customers!A:A,Customers!C:C,"MISSING")</f>
        <v>Lucknow</v>
      </c>
      <c r="G401" s="1" t="str">
        <f>_xlfn.XLOOKUP(D401,Products!A:A,Products!C:C,"MISSING")</f>
        <v>Electronics</v>
      </c>
      <c r="H401" s="1">
        <f>_xlfn.XLOOKUP(D401,Products!A:A,Products!D:D,"MISSING")</f>
        <v>20000</v>
      </c>
      <c r="I401" s="1" t="str">
        <f t="shared" si="12"/>
        <v>Dec</v>
      </c>
      <c r="J401" s="1">
        <f t="shared" si="13"/>
        <v>60000</v>
      </c>
      <c r="K401" s="1" t="str">
        <f>_xlfn.XLOOKUP(C401,Customers!A:A,Customers!B:B,"MISSING")</f>
        <v>Priya Kapoor</v>
      </c>
      <c r="L401" s="1" t="str">
        <f>_xlfn.XLOOKUP(D401,Products!A:A,Products!B:B,"MISSING")</f>
        <v>Mobile</v>
      </c>
    </row>
    <row r="402" spans="1:12">
      <c r="A402" s="1">
        <v>1401</v>
      </c>
      <c r="B402" s="1" t="s">
        <v>414</v>
      </c>
      <c r="C402" s="1" t="s">
        <v>67</v>
      </c>
      <c r="D402" s="1" t="s">
        <v>147</v>
      </c>
      <c r="E402" s="1">
        <v>5</v>
      </c>
      <c r="F402" s="1" t="str">
        <f>_xlfn.XLOOKUP(C402,Customers!A:A,Customers!C:C,"MISSING")</f>
        <v>Mumbai</v>
      </c>
      <c r="G402" s="1" t="str">
        <f>_xlfn.XLOOKUP(D402,Products!A:A,Products!C:C,"MISSING")</f>
        <v>Furniture</v>
      </c>
      <c r="H402" s="1">
        <f>_xlfn.XLOOKUP(D402,Products!A:A,Products!D:D,"MISSING")</f>
        <v>7000</v>
      </c>
      <c r="I402" s="1" t="str">
        <f t="shared" si="12"/>
        <v>Jun</v>
      </c>
      <c r="J402" s="1">
        <f t="shared" si="13"/>
        <v>35000</v>
      </c>
      <c r="K402" s="1" t="str">
        <f>_xlfn.XLOOKUP(C402,Customers!A:A,Customers!B:B,"MISSING")</f>
        <v>Nitin Joshi</v>
      </c>
      <c r="L402" s="1" t="str">
        <f>_xlfn.XLOOKUP(D402,Products!A:A,Products!B:B,"MISSING")</f>
        <v>Table</v>
      </c>
    </row>
    <row r="403" spans="1:12">
      <c r="A403" s="1">
        <v>1402</v>
      </c>
      <c r="B403" s="1" t="s">
        <v>277</v>
      </c>
      <c r="C403" s="1" t="s">
        <v>103</v>
      </c>
      <c r="D403" s="1" t="s">
        <v>147</v>
      </c>
      <c r="E403" s="1">
        <v>3</v>
      </c>
      <c r="F403" s="1" t="str">
        <f>_xlfn.XLOOKUP(C403,Customers!A:A,Customers!C:C,"MISSING")</f>
        <v>Bangalore</v>
      </c>
      <c r="G403" s="1" t="str">
        <f>_xlfn.XLOOKUP(D403,Products!A:A,Products!C:C,"MISSING")</f>
        <v>Furniture</v>
      </c>
      <c r="H403" s="1">
        <f>_xlfn.XLOOKUP(D403,Products!A:A,Products!D:D,"MISSING")</f>
        <v>7000</v>
      </c>
      <c r="I403" s="1" t="str">
        <f t="shared" si="12"/>
        <v>Jul</v>
      </c>
      <c r="J403" s="1">
        <f t="shared" si="13"/>
        <v>21000</v>
      </c>
      <c r="K403" s="1" t="str">
        <f>_xlfn.XLOOKUP(C403,Customers!A:A,Customers!B:B,"MISSING")</f>
        <v>Neha Singh</v>
      </c>
      <c r="L403" s="1" t="str">
        <f>_xlfn.XLOOKUP(D403,Products!A:A,Products!B:B,"MISSING")</f>
        <v>Table</v>
      </c>
    </row>
    <row r="404" spans="1:12">
      <c r="A404" s="1">
        <v>1403</v>
      </c>
      <c r="B404" s="1" t="s">
        <v>244</v>
      </c>
      <c r="C404" s="1" t="s">
        <v>78</v>
      </c>
      <c r="D404" s="1" t="s">
        <v>140</v>
      </c>
      <c r="E404" s="1">
        <v>2</v>
      </c>
      <c r="F404" s="1" t="str">
        <f>_xlfn.XLOOKUP(C404,Customers!A:A,Customers!C:C,"MISSING")</f>
        <v>Ahmedabad</v>
      </c>
      <c r="G404" s="1" t="str">
        <f>_xlfn.XLOOKUP(D404,Products!A:A,Products!C:C,"MISSING")</f>
        <v>Electronics</v>
      </c>
      <c r="H404" s="1">
        <f>_xlfn.XLOOKUP(D404,Products!A:A,Products!D:D,"MISSING")</f>
        <v>20000</v>
      </c>
      <c r="I404" s="1" t="str">
        <f t="shared" si="12"/>
        <v>Nov</v>
      </c>
      <c r="J404" s="1">
        <f t="shared" si="13"/>
        <v>40000</v>
      </c>
      <c r="K404" s="1" t="str">
        <f>_xlfn.XLOOKUP(C404,Customers!A:A,Customers!B:B,"MISSING")</f>
        <v>Priya Kapoor</v>
      </c>
      <c r="L404" s="1" t="str">
        <f>_xlfn.XLOOKUP(D404,Products!A:A,Products!B:B,"MISSING")</f>
        <v>Mobile</v>
      </c>
    </row>
    <row r="405" spans="1:12">
      <c r="A405" s="1">
        <v>1404</v>
      </c>
      <c r="B405" s="1" t="s">
        <v>207</v>
      </c>
      <c r="C405" s="1" t="s">
        <v>121</v>
      </c>
      <c r="D405" s="1" t="s">
        <v>144</v>
      </c>
      <c r="E405" s="1">
        <v>4</v>
      </c>
      <c r="F405" s="1" t="str">
        <f>_xlfn.XLOOKUP(C405,Customers!A:A,Customers!C:C,"MISSING")</f>
        <v>Bangalore</v>
      </c>
      <c r="G405" s="1" t="str">
        <f>_xlfn.XLOOKUP(D405,Products!A:A,Products!C:C,"MISSING")</f>
        <v>Furniture</v>
      </c>
      <c r="H405" s="1">
        <f>_xlfn.XLOOKUP(D405,Products!A:A,Products!D:D,"MISSING")</f>
        <v>3000</v>
      </c>
      <c r="I405" s="1" t="str">
        <f t="shared" si="12"/>
        <v>Jul</v>
      </c>
      <c r="J405" s="1">
        <f t="shared" si="13"/>
        <v>12000</v>
      </c>
      <c r="K405" s="1" t="str">
        <f>_xlfn.XLOOKUP(C405,Customers!A:A,Customers!B:B,"MISSING")</f>
        <v>Ishita Bose</v>
      </c>
      <c r="L405" s="1" t="str">
        <f>_xlfn.XLOOKUP(D405,Products!A:A,Products!B:B,"MISSING")</f>
        <v>Chair</v>
      </c>
    </row>
    <row r="406" spans="1:12">
      <c r="A406" s="1">
        <v>1405</v>
      </c>
      <c r="B406" s="1" t="s">
        <v>183</v>
      </c>
      <c r="C406" s="1" t="s">
        <v>3</v>
      </c>
      <c r="D406" s="1" t="s">
        <v>140</v>
      </c>
      <c r="E406" s="1">
        <v>5</v>
      </c>
      <c r="F406" s="1" t="str">
        <f>_xlfn.XLOOKUP(C406,Customers!A:A,Customers!C:C,"MISSING")</f>
        <v>Lucknow</v>
      </c>
      <c r="G406" s="1" t="str">
        <f>_xlfn.XLOOKUP(D406,Products!A:A,Products!C:C,"MISSING")</f>
        <v>Electronics</v>
      </c>
      <c r="H406" s="1">
        <f>_xlfn.XLOOKUP(D406,Products!A:A,Products!D:D,"MISSING")</f>
        <v>20000</v>
      </c>
      <c r="I406" s="1" t="str">
        <f t="shared" si="12"/>
        <v>Nov</v>
      </c>
      <c r="J406" s="1">
        <f t="shared" si="13"/>
        <v>100000</v>
      </c>
      <c r="K406" s="1" t="str">
        <f>_xlfn.XLOOKUP(C406,Customers!A:A,Customers!B:B,"MISSING")</f>
        <v>Amit Verma</v>
      </c>
      <c r="L406" s="1" t="str">
        <f>_xlfn.XLOOKUP(D406,Products!A:A,Products!B:B,"MISSING")</f>
        <v>Mobile</v>
      </c>
    </row>
    <row r="407" spans="1:12">
      <c r="A407" s="1">
        <v>1406</v>
      </c>
      <c r="B407" s="1" t="s">
        <v>175</v>
      </c>
      <c r="C407" s="1" t="s">
        <v>47</v>
      </c>
      <c r="D407" s="1" t="s">
        <v>149</v>
      </c>
      <c r="E407" s="1">
        <v>4</v>
      </c>
      <c r="F407" s="1" t="str">
        <f>_xlfn.XLOOKUP(C407,Customers!A:A,Customers!C:C,"MISSING")</f>
        <v>Mumbai</v>
      </c>
      <c r="G407" s="1" t="str">
        <f>_xlfn.XLOOKUP(D407,Products!A:A,Products!C:C,"MISSING")</f>
        <v>Furniture</v>
      </c>
      <c r="H407" s="1">
        <f>_xlfn.XLOOKUP(D407,Products!A:A,Products!D:D,"MISSING")</f>
        <v>25000</v>
      </c>
      <c r="I407" s="1" t="str">
        <f t="shared" si="12"/>
        <v>Sep</v>
      </c>
      <c r="J407" s="1">
        <f t="shared" si="13"/>
        <v>100000</v>
      </c>
      <c r="K407" s="1" t="str">
        <f>_xlfn.XLOOKUP(C407,Customers!A:A,Customers!B:B,"MISSING")</f>
        <v>Amit Verma</v>
      </c>
      <c r="L407" s="1" t="str">
        <f>_xlfn.XLOOKUP(D407,Products!A:A,Products!B:B,"MISSING")</f>
        <v>Sofa</v>
      </c>
    </row>
    <row r="408" spans="1:12">
      <c r="A408" s="1">
        <v>1407</v>
      </c>
      <c r="B408" s="1" t="s">
        <v>382</v>
      </c>
      <c r="C408" s="1" t="s">
        <v>91</v>
      </c>
      <c r="D408" s="1" t="s">
        <v>144</v>
      </c>
      <c r="E408" s="1">
        <v>1</v>
      </c>
      <c r="F408" s="1" t="str">
        <f>_xlfn.XLOOKUP(C408,Customers!A:A,Customers!C:C,"MISSING")</f>
        <v>Jaipur</v>
      </c>
      <c r="G408" s="1" t="str">
        <f>_xlfn.XLOOKUP(D408,Products!A:A,Products!C:C,"MISSING")</f>
        <v>Furniture</v>
      </c>
      <c r="H408" s="1">
        <f>_xlfn.XLOOKUP(D408,Products!A:A,Products!D:D,"MISSING")</f>
        <v>3000</v>
      </c>
      <c r="I408" s="1" t="str">
        <f t="shared" si="12"/>
        <v>Feb</v>
      </c>
      <c r="J408" s="1">
        <f t="shared" si="13"/>
        <v>3000</v>
      </c>
      <c r="K408" s="1" t="str">
        <f>_xlfn.XLOOKUP(C408,Customers!A:A,Customers!B:B,"MISSING")</f>
        <v>Karan Mehta</v>
      </c>
      <c r="L408" s="1" t="str">
        <f>_xlfn.XLOOKUP(D408,Products!A:A,Products!B:B,"MISSING")</f>
        <v>Chair</v>
      </c>
    </row>
    <row r="409" spans="1:12">
      <c r="A409" s="1">
        <v>1408</v>
      </c>
      <c r="B409" s="1" t="s">
        <v>413</v>
      </c>
      <c r="C409" s="1" t="s">
        <v>40</v>
      </c>
      <c r="D409" s="1" t="s">
        <v>154</v>
      </c>
      <c r="E409" s="1">
        <v>1</v>
      </c>
      <c r="F409" s="1" t="str">
        <f>_xlfn.XLOOKUP(C409,Customers!A:A,Customers!C:C,"MISSING")</f>
        <v>Ahmedabad</v>
      </c>
      <c r="G409" s="1" t="str">
        <f>_xlfn.XLOOKUP(D409,Products!A:A,Products!C:C,"MISSING")</f>
        <v>Clothing</v>
      </c>
      <c r="H409" s="1">
        <f>_xlfn.XLOOKUP(D409,Products!A:A,Products!D:D,"MISSING")</f>
        <v>2500</v>
      </c>
      <c r="I409" s="1" t="str">
        <f t="shared" si="12"/>
        <v>Dec</v>
      </c>
      <c r="J409" s="1">
        <f t="shared" si="13"/>
        <v>2500</v>
      </c>
      <c r="K409" s="1" t="str">
        <f>_xlfn.XLOOKUP(C409,Customers!A:A,Customers!B:B,"MISSING")</f>
        <v>Neha Singh</v>
      </c>
      <c r="L409" s="1" t="str">
        <f>_xlfn.XLOOKUP(D409,Products!A:A,Products!B:B,"MISSING")</f>
        <v>Jeans</v>
      </c>
    </row>
    <row r="410" spans="1:12">
      <c r="A410" s="1">
        <v>1409</v>
      </c>
      <c r="B410" s="1" t="s">
        <v>304</v>
      </c>
      <c r="C410" s="1" t="s">
        <v>33</v>
      </c>
      <c r="D410" s="1" t="s">
        <v>156</v>
      </c>
      <c r="E410" s="1">
        <v>3</v>
      </c>
      <c r="F410" s="1" t="str">
        <f>_xlfn.XLOOKUP(C410,Customers!A:A,Customers!C:C,"MISSING")</f>
        <v>Ahmedabad</v>
      </c>
      <c r="G410" s="1" t="str">
        <f>_xlfn.XLOOKUP(D410,Products!A:A,Products!C:C,"MISSING")</f>
        <v>Clothing</v>
      </c>
      <c r="H410" s="1">
        <f>_xlfn.XLOOKUP(D410,Products!A:A,Products!D:D,"MISSING")</f>
        <v>1800</v>
      </c>
      <c r="I410" s="1" t="str">
        <f t="shared" si="12"/>
        <v>May</v>
      </c>
      <c r="J410" s="1">
        <f t="shared" si="13"/>
        <v>5400</v>
      </c>
      <c r="K410" s="1" t="str">
        <f>_xlfn.XLOOKUP(C410,Customers!A:A,Customers!B:B,"MISSING")</f>
        <v>Priya Kapoor</v>
      </c>
      <c r="L410" s="1" t="str">
        <f>_xlfn.XLOOKUP(D410,Products!A:A,Products!B:B,"MISSING")</f>
        <v>Shirt</v>
      </c>
    </row>
    <row r="411" spans="1:12">
      <c r="A411" s="1">
        <v>1410</v>
      </c>
      <c r="B411" s="1" t="s">
        <v>415</v>
      </c>
      <c r="C411" s="1" t="s">
        <v>76</v>
      </c>
      <c r="D411" s="1" t="s">
        <v>156</v>
      </c>
      <c r="E411" s="1">
        <v>3</v>
      </c>
      <c r="F411" s="1" t="str">
        <f>_xlfn.XLOOKUP(C411,Customers!A:A,Customers!C:C,"MISSING")</f>
        <v>Ahmedabad</v>
      </c>
      <c r="G411" s="1" t="str">
        <f>_xlfn.XLOOKUP(D411,Products!A:A,Products!C:C,"MISSING")</f>
        <v>Clothing</v>
      </c>
      <c r="H411" s="1">
        <f>_xlfn.XLOOKUP(D411,Products!A:A,Products!D:D,"MISSING")</f>
        <v>1800</v>
      </c>
      <c r="I411" s="1" t="str">
        <f t="shared" si="12"/>
        <v>Sep</v>
      </c>
      <c r="J411" s="1">
        <f t="shared" si="13"/>
        <v>5400</v>
      </c>
      <c r="K411" s="1" t="str">
        <f>_xlfn.XLOOKUP(C411,Customers!A:A,Customers!B:B,"MISSING")</f>
        <v>Riya Das</v>
      </c>
      <c r="L411" s="1" t="str">
        <f>_xlfn.XLOOKUP(D411,Products!A:A,Products!B:B,"MISSING")</f>
        <v>Shirt</v>
      </c>
    </row>
    <row r="412" spans="1:12">
      <c r="A412" s="1">
        <v>1411</v>
      </c>
      <c r="B412" s="1" t="s">
        <v>182</v>
      </c>
      <c r="C412" s="1" t="s">
        <v>96</v>
      </c>
      <c r="D412" s="1" t="s">
        <v>158</v>
      </c>
      <c r="E412" s="1">
        <v>3</v>
      </c>
      <c r="F412" s="1" t="str">
        <f>_xlfn.XLOOKUP(C412,Customers!A:A,Customers!C:C,"MISSING")</f>
        <v>Ahmedabad</v>
      </c>
      <c r="G412" s="1" t="str">
        <f>_xlfn.XLOOKUP(D412,Products!A:A,Products!C:C,"MISSING")</f>
        <v>Clothing</v>
      </c>
      <c r="H412" s="1">
        <f>_xlfn.XLOOKUP(D412,Products!A:A,Products!D:D,"MISSING")</f>
        <v>3500</v>
      </c>
      <c r="I412" s="1" t="str">
        <f t="shared" si="12"/>
        <v>Nov</v>
      </c>
      <c r="J412" s="1">
        <f t="shared" si="13"/>
        <v>10500</v>
      </c>
      <c r="K412" s="1" t="str">
        <f>_xlfn.XLOOKUP(C412,Customers!A:A,Customers!B:B,"MISSING")</f>
        <v>Pooja Jain</v>
      </c>
      <c r="L412" s="1" t="str">
        <f>_xlfn.XLOOKUP(D412,Products!A:A,Products!B:B,"MISSING")</f>
        <v>Shoes</v>
      </c>
    </row>
    <row r="413" spans="1:12">
      <c r="A413" s="1">
        <v>1412</v>
      </c>
      <c r="B413" s="1" t="s">
        <v>263</v>
      </c>
      <c r="C413" s="1" t="s">
        <v>20</v>
      </c>
      <c r="D413" s="1" t="s">
        <v>158</v>
      </c>
      <c r="E413" s="1">
        <v>5</v>
      </c>
      <c r="F413" s="1" t="str">
        <f>_xlfn.XLOOKUP(C413,Customers!A:A,Customers!C:C,"MISSING")</f>
        <v>Bangalore</v>
      </c>
      <c r="G413" s="1" t="str">
        <f>_xlfn.XLOOKUP(D413,Products!A:A,Products!C:C,"MISSING")</f>
        <v>Clothing</v>
      </c>
      <c r="H413" s="1">
        <f>_xlfn.XLOOKUP(D413,Products!A:A,Products!D:D,"MISSING")</f>
        <v>3500</v>
      </c>
      <c r="I413" s="1" t="str">
        <f t="shared" si="12"/>
        <v>Jun</v>
      </c>
      <c r="J413" s="1">
        <f t="shared" si="13"/>
        <v>17500</v>
      </c>
      <c r="K413" s="1" t="str">
        <f>_xlfn.XLOOKUP(C413,Customers!A:A,Customers!B:B,"MISSING")</f>
        <v>Komal Gupta</v>
      </c>
      <c r="L413" s="1" t="str">
        <f>_xlfn.XLOOKUP(D413,Products!A:A,Products!B:B,"MISSING")</f>
        <v>Shoes</v>
      </c>
    </row>
    <row r="414" spans="1:12">
      <c r="A414" s="1">
        <v>1413</v>
      </c>
      <c r="B414" s="1" t="s">
        <v>163</v>
      </c>
      <c r="C414" s="1" t="s">
        <v>97</v>
      </c>
      <c r="D414" s="1" t="s">
        <v>137</v>
      </c>
      <c r="E414" s="1">
        <v>5</v>
      </c>
      <c r="F414" s="1" t="str">
        <f>_xlfn.XLOOKUP(C414,Customers!A:A,Customers!C:C,"MISSING")</f>
        <v>Kolkata</v>
      </c>
      <c r="G414" s="1" t="str">
        <f>_xlfn.XLOOKUP(D414,Products!A:A,Products!C:C,"MISSING")</f>
        <v>Electronics</v>
      </c>
      <c r="H414" s="1">
        <f>_xlfn.XLOOKUP(D414,Products!A:A,Products!D:D,"MISSING")</f>
        <v>50000</v>
      </c>
      <c r="I414" s="1" t="str">
        <f t="shared" si="12"/>
        <v>Nov</v>
      </c>
      <c r="J414" s="1">
        <f t="shared" si="13"/>
        <v>250000</v>
      </c>
      <c r="K414" s="1" t="str">
        <f>_xlfn.XLOOKUP(C414,Customers!A:A,Customers!B:B,"MISSING")</f>
        <v>Rohit Sen</v>
      </c>
      <c r="L414" s="1" t="str">
        <f>_xlfn.XLOOKUP(D414,Products!A:A,Products!B:B,"MISSING")</f>
        <v>Laptop</v>
      </c>
    </row>
    <row r="415" spans="1:12">
      <c r="A415" s="1">
        <v>1414</v>
      </c>
      <c r="B415" s="1" t="s">
        <v>416</v>
      </c>
      <c r="C415" s="1" t="s">
        <v>96</v>
      </c>
      <c r="D415" s="1" t="s">
        <v>156</v>
      </c>
      <c r="E415" s="1">
        <v>4</v>
      </c>
      <c r="F415" s="1" t="str">
        <f>_xlfn.XLOOKUP(C415,Customers!A:A,Customers!C:C,"MISSING")</f>
        <v>Ahmedabad</v>
      </c>
      <c r="G415" s="1" t="str">
        <f>_xlfn.XLOOKUP(D415,Products!A:A,Products!C:C,"MISSING")</f>
        <v>Clothing</v>
      </c>
      <c r="H415" s="1">
        <f>_xlfn.XLOOKUP(D415,Products!A:A,Products!D:D,"MISSING")</f>
        <v>1800</v>
      </c>
      <c r="I415" s="1" t="str">
        <f t="shared" si="12"/>
        <v>Dec</v>
      </c>
      <c r="J415" s="1">
        <f t="shared" si="13"/>
        <v>7200</v>
      </c>
      <c r="K415" s="1" t="str">
        <f>_xlfn.XLOOKUP(C415,Customers!A:A,Customers!B:B,"MISSING")</f>
        <v>Pooja Jain</v>
      </c>
      <c r="L415" s="1" t="str">
        <f>_xlfn.XLOOKUP(D415,Products!A:A,Products!B:B,"MISSING")</f>
        <v>Shirt</v>
      </c>
    </row>
    <row r="416" spans="1:12">
      <c r="A416" s="1">
        <v>1415</v>
      </c>
      <c r="B416" s="1" t="s">
        <v>417</v>
      </c>
      <c r="C416" s="1" t="s">
        <v>6</v>
      </c>
      <c r="D416" s="1" t="s">
        <v>142</v>
      </c>
      <c r="E416" s="1">
        <v>4</v>
      </c>
      <c r="F416" s="1" t="str">
        <f>_xlfn.XLOOKUP(C416,Customers!A:A,Customers!C:C,"MISSING")</f>
        <v>Pune</v>
      </c>
      <c r="G416" s="1" t="str">
        <f>_xlfn.XLOOKUP(D416,Products!A:A,Products!C:C,"MISSING")</f>
        <v>Electronics</v>
      </c>
      <c r="H416" s="1">
        <f>_xlfn.XLOOKUP(D416,Products!A:A,Products!D:D,"MISSING")</f>
        <v>15000</v>
      </c>
      <c r="I416" s="1" t="str">
        <f t="shared" si="12"/>
        <v>Mar</v>
      </c>
      <c r="J416" s="1">
        <f t="shared" si="13"/>
        <v>60000</v>
      </c>
      <c r="K416" s="1" t="str">
        <f>_xlfn.XLOOKUP(C416,Customers!A:A,Customers!B:B,"MISSING")</f>
        <v>Priya Kapoor</v>
      </c>
      <c r="L416" s="1" t="str">
        <f>_xlfn.XLOOKUP(D416,Products!A:A,Products!B:B,"MISSING")</f>
        <v>Tablet</v>
      </c>
    </row>
    <row r="417" spans="1:12">
      <c r="A417" s="1">
        <v>1416</v>
      </c>
      <c r="B417" s="1" t="s">
        <v>418</v>
      </c>
      <c r="C417" s="1" t="s">
        <v>60</v>
      </c>
      <c r="D417" s="1" t="s">
        <v>154</v>
      </c>
      <c r="E417" s="1">
        <v>1</v>
      </c>
      <c r="F417" s="1" t="str">
        <f>_xlfn.XLOOKUP(C417,Customers!A:A,Customers!C:C,"MISSING")</f>
        <v>Delhi</v>
      </c>
      <c r="G417" s="1" t="str">
        <f>_xlfn.XLOOKUP(D417,Products!A:A,Products!C:C,"MISSING")</f>
        <v>Clothing</v>
      </c>
      <c r="H417" s="1">
        <f>_xlfn.XLOOKUP(D417,Products!A:A,Products!D:D,"MISSING")</f>
        <v>2500</v>
      </c>
      <c r="I417" s="1" t="str">
        <f t="shared" si="12"/>
        <v>Jan</v>
      </c>
      <c r="J417" s="1">
        <f t="shared" si="13"/>
        <v>2500</v>
      </c>
      <c r="K417" s="1" t="str">
        <f>_xlfn.XLOOKUP(C417,Customers!A:A,Customers!B:B,"MISSING")</f>
        <v>Amit Verma</v>
      </c>
      <c r="L417" s="1" t="str">
        <f>_xlfn.XLOOKUP(D417,Products!A:A,Products!B:B,"MISSING")</f>
        <v>Jeans</v>
      </c>
    </row>
    <row r="418" spans="1:12">
      <c r="A418" s="1">
        <v>1417</v>
      </c>
      <c r="B418" s="1" t="s">
        <v>208</v>
      </c>
      <c r="C418" s="1" t="s">
        <v>83</v>
      </c>
      <c r="D418" s="1" t="s">
        <v>140</v>
      </c>
      <c r="E418" s="1">
        <v>5</v>
      </c>
      <c r="F418" s="1" t="str">
        <f>_xlfn.XLOOKUP(C418,Customers!A:A,Customers!C:C,"MISSING")</f>
        <v>Bangalore</v>
      </c>
      <c r="G418" s="1" t="str">
        <f>_xlfn.XLOOKUP(D418,Products!A:A,Products!C:C,"MISSING")</f>
        <v>Electronics</v>
      </c>
      <c r="H418" s="1">
        <f>_xlfn.XLOOKUP(D418,Products!A:A,Products!D:D,"MISSING")</f>
        <v>20000</v>
      </c>
      <c r="I418" s="1" t="str">
        <f t="shared" si="12"/>
        <v>Jun</v>
      </c>
      <c r="J418" s="1">
        <f t="shared" si="13"/>
        <v>100000</v>
      </c>
      <c r="K418" s="1" t="str">
        <f>_xlfn.XLOOKUP(C418,Customers!A:A,Customers!B:B,"MISSING")</f>
        <v>Priya Kapoor</v>
      </c>
      <c r="L418" s="1" t="str">
        <f>_xlfn.XLOOKUP(D418,Products!A:A,Products!B:B,"MISSING")</f>
        <v>Mobile</v>
      </c>
    </row>
    <row r="419" spans="1:12">
      <c r="A419" s="1">
        <v>1418</v>
      </c>
      <c r="B419" s="1" t="s">
        <v>269</v>
      </c>
      <c r="C419" s="1" t="s">
        <v>79</v>
      </c>
      <c r="D419" s="1" t="s">
        <v>137</v>
      </c>
      <c r="E419" s="1">
        <v>2</v>
      </c>
      <c r="F419" s="1" t="str">
        <f>_xlfn.XLOOKUP(C419,Customers!A:A,Customers!C:C,"MISSING")</f>
        <v>Lucknow</v>
      </c>
      <c r="G419" s="1" t="str">
        <f>_xlfn.XLOOKUP(D419,Products!A:A,Products!C:C,"MISSING")</f>
        <v>Electronics</v>
      </c>
      <c r="H419" s="1">
        <f>_xlfn.XLOOKUP(D419,Products!A:A,Products!D:D,"MISSING")</f>
        <v>50000</v>
      </c>
      <c r="I419" s="1" t="str">
        <f t="shared" si="12"/>
        <v>Aug</v>
      </c>
      <c r="J419" s="1">
        <f t="shared" si="13"/>
        <v>100000</v>
      </c>
      <c r="K419" s="1" t="str">
        <f>_xlfn.XLOOKUP(C419,Customers!A:A,Customers!B:B,"MISSING")</f>
        <v>Rahul Sharma</v>
      </c>
      <c r="L419" s="1" t="str">
        <f>_xlfn.XLOOKUP(D419,Products!A:A,Products!B:B,"MISSING")</f>
        <v>Laptop</v>
      </c>
    </row>
    <row r="420" spans="1:12">
      <c r="A420" s="1">
        <v>1419</v>
      </c>
      <c r="B420" s="1" t="s">
        <v>321</v>
      </c>
      <c r="C420" s="1" t="s">
        <v>118</v>
      </c>
      <c r="D420" s="1" t="s">
        <v>158</v>
      </c>
      <c r="E420" s="1">
        <v>1</v>
      </c>
      <c r="F420" s="1" t="str">
        <f>_xlfn.XLOOKUP(C420,Customers!A:A,Customers!C:C,"MISSING")</f>
        <v>Hyderabad</v>
      </c>
      <c r="G420" s="1" t="str">
        <f>_xlfn.XLOOKUP(D420,Products!A:A,Products!C:C,"MISSING")</f>
        <v>Clothing</v>
      </c>
      <c r="H420" s="1">
        <f>_xlfn.XLOOKUP(D420,Products!A:A,Products!D:D,"MISSING")</f>
        <v>3500</v>
      </c>
      <c r="I420" s="1" t="str">
        <f t="shared" si="12"/>
        <v>Nov</v>
      </c>
      <c r="J420" s="1">
        <f t="shared" si="13"/>
        <v>3500</v>
      </c>
      <c r="K420" s="1" t="str">
        <f>_xlfn.XLOOKUP(C420,Customers!A:A,Customers!B:B,"MISSING")</f>
        <v>Riya Das</v>
      </c>
      <c r="L420" s="1" t="str">
        <f>_xlfn.XLOOKUP(D420,Products!A:A,Products!B:B,"MISSING")</f>
        <v>Shoes</v>
      </c>
    </row>
    <row r="421" spans="1:12">
      <c r="A421" s="1">
        <v>1420</v>
      </c>
      <c r="B421" s="1" t="s">
        <v>419</v>
      </c>
      <c r="C421" s="1" t="s">
        <v>55</v>
      </c>
      <c r="D421" s="1" t="s">
        <v>137</v>
      </c>
      <c r="E421" s="1">
        <v>2</v>
      </c>
      <c r="F421" s="1" t="str">
        <f>_xlfn.XLOOKUP(C421,Customers!A:A,Customers!C:C,"MISSING")</f>
        <v>Jaipur</v>
      </c>
      <c r="G421" s="1" t="str">
        <f>_xlfn.XLOOKUP(D421,Products!A:A,Products!C:C,"MISSING")</f>
        <v>Electronics</v>
      </c>
      <c r="H421" s="1">
        <f>_xlfn.XLOOKUP(D421,Products!A:A,Products!D:D,"MISSING")</f>
        <v>50000</v>
      </c>
      <c r="I421" s="1" t="str">
        <f t="shared" si="12"/>
        <v>Oct</v>
      </c>
      <c r="J421" s="1">
        <f t="shared" si="13"/>
        <v>100000</v>
      </c>
      <c r="K421" s="1" t="str">
        <f>_xlfn.XLOOKUP(C421,Customers!A:A,Customers!B:B,"MISSING")</f>
        <v>Neha Singh</v>
      </c>
      <c r="L421" s="1" t="str">
        <f>_xlfn.XLOOKUP(D421,Products!A:A,Products!B:B,"MISSING")</f>
        <v>Laptop</v>
      </c>
    </row>
    <row r="422" spans="1:12">
      <c r="A422" s="1">
        <v>1421</v>
      </c>
      <c r="B422" s="1" t="s">
        <v>420</v>
      </c>
      <c r="C422" s="1" t="s">
        <v>19</v>
      </c>
      <c r="D422" s="1" t="s">
        <v>142</v>
      </c>
      <c r="E422" s="1">
        <v>1</v>
      </c>
      <c r="F422" s="1" t="str">
        <f>_xlfn.XLOOKUP(C422,Customers!A:A,Customers!C:C,"MISSING")</f>
        <v>Hyderabad</v>
      </c>
      <c r="G422" s="1" t="str">
        <f>_xlfn.XLOOKUP(D422,Products!A:A,Products!C:C,"MISSING")</f>
        <v>Electronics</v>
      </c>
      <c r="H422" s="1">
        <f>_xlfn.XLOOKUP(D422,Products!A:A,Products!D:D,"MISSING")</f>
        <v>15000</v>
      </c>
      <c r="I422" s="1" t="str">
        <f t="shared" si="12"/>
        <v>Dec</v>
      </c>
      <c r="J422" s="1">
        <f t="shared" si="13"/>
        <v>15000</v>
      </c>
      <c r="K422" s="1" t="str">
        <f>_xlfn.XLOOKUP(C422,Customers!A:A,Customers!B:B,"MISSING")</f>
        <v>Pooja Jain</v>
      </c>
      <c r="L422" s="1" t="str">
        <f>_xlfn.XLOOKUP(D422,Products!A:A,Products!B:B,"MISSING")</f>
        <v>Tablet</v>
      </c>
    </row>
    <row r="423" spans="1:12">
      <c r="A423" s="1">
        <v>1422</v>
      </c>
      <c r="B423" s="1" t="s">
        <v>241</v>
      </c>
      <c r="C423" s="1" t="s">
        <v>117</v>
      </c>
      <c r="D423" s="1" t="s">
        <v>149</v>
      </c>
      <c r="E423" s="1">
        <v>5</v>
      </c>
      <c r="F423" s="1" t="str">
        <f>_xlfn.XLOOKUP(C423,Customers!A:A,Customers!C:C,"MISSING")</f>
        <v>Kolkata</v>
      </c>
      <c r="G423" s="1" t="str">
        <f>_xlfn.XLOOKUP(D423,Products!A:A,Products!C:C,"MISSING")</f>
        <v>Furniture</v>
      </c>
      <c r="H423" s="1">
        <f>_xlfn.XLOOKUP(D423,Products!A:A,Products!D:D,"MISSING")</f>
        <v>25000</v>
      </c>
      <c r="I423" s="1" t="str">
        <f t="shared" si="12"/>
        <v>Jan</v>
      </c>
      <c r="J423" s="1">
        <f t="shared" si="13"/>
        <v>125000</v>
      </c>
      <c r="K423" s="1" t="str">
        <f>_xlfn.XLOOKUP(C423,Customers!A:A,Customers!B:B,"MISSING")</f>
        <v>Tanya Sethi</v>
      </c>
      <c r="L423" s="1" t="str">
        <f>_xlfn.XLOOKUP(D423,Products!A:A,Products!B:B,"MISSING")</f>
        <v>Sofa</v>
      </c>
    </row>
    <row r="424" spans="1:12">
      <c r="A424" s="1">
        <v>1423</v>
      </c>
      <c r="B424" s="1" t="s">
        <v>420</v>
      </c>
      <c r="C424" s="1" t="s">
        <v>56</v>
      </c>
      <c r="D424" s="1" t="s">
        <v>151</v>
      </c>
      <c r="E424" s="1">
        <v>3</v>
      </c>
      <c r="F424" s="1" t="str">
        <f>_xlfn.XLOOKUP(C424,Customers!A:A,Customers!C:C,"MISSING")</f>
        <v>Bangalore</v>
      </c>
      <c r="G424" s="1" t="str">
        <f>_xlfn.XLOOKUP(D424,Products!A:A,Products!C:C,"MISSING")</f>
        <v>Clothing</v>
      </c>
      <c r="H424" s="1">
        <f>_xlfn.XLOOKUP(D424,Products!A:A,Products!D:D,"MISSING")</f>
        <v>1500</v>
      </c>
      <c r="I424" s="1" t="str">
        <f t="shared" si="12"/>
        <v>Dec</v>
      </c>
      <c r="J424" s="1">
        <f t="shared" si="13"/>
        <v>4500</v>
      </c>
      <c r="K424" s="1" t="str">
        <f>_xlfn.XLOOKUP(C424,Customers!A:A,Customers!B:B,"MISSING")</f>
        <v>Karan Mehta</v>
      </c>
      <c r="L424" s="1" t="str">
        <f>_xlfn.XLOOKUP(D424,Products!A:A,Products!B:B,"MISSING")</f>
        <v>T-Shirt</v>
      </c>
    </row>
    <row r="425" spans="1:12">
      <c r="A425" s="1">
        <v>1424</v>
      </c>
      <c r="B425" s="1" t="s">
        <v>307</v>
      </c>
      <c r="C425" s="1" t="s">
        <v>107</v>
      </c>
      <c r="D425" s="1" t="s">
        <v>156</v>
      </c>
      <c r="E425" s="1">
        <v>4</v>
      </c>
      <c r="F425" s="1" t="str">
        <f>_xlfn.XLOOKUP(C425,Customers!A:A,Customers!C:C,"MISSING")</f>
        <v>Lucknow</v>
      </c>
      <c r="G425" s="1" t="str">
        <f>_xlfn.XLOOKUP(D425,Products!A:A,Products!C:C,"MISSING")</f>
        <v>Clothing</v>
      </c>
      <c r="H425" s="1">
        <f>_xlfn.XLOOKUP(D425,Products!A:A,Products!D:D,"MISSING")</f>
        <v>1800</v>
      </c>
      <c r="I425" s="1" t="str">
        <f t="shared" si="12"/>
        <v>Oct</v>
      </c>
      <c r="J425" s="1">
        <f t="shared" si="13"/>
        <v>7200</v>
      </c>
      <c r="K425" s="1" t="str">
        <f>_xlfn.XLOOKUP(C425,Customers!A:A,Customers!B:B,"MISSING")</f>
        <v>Priya Kapoor</v>
      </c>
      <c r="L425" s="1" t="str">
        <f>_xlfn.XLOOKUP(D425,Products!A:A,Products!B:B,"MISSING")</f>
        <v>Shirt</v>
      </c>
    </row>
    <row r="426" spans="1:12">
      <c r="A426" s="1">
        <v>1425</v>
      </c>
      <c r="B426" s="1" t="s">
        <v>421</v>
      </c>
      <c r="C426" s="1" t="s">
        <v>53</v>
      </c>
      <c r="D426" s="1" t="s">
        <v>154</v>
      </c>
      <c r="E426" s="1">
        <v>4</v>
      </c>
      <c r="F426" s="1" t="str">
        <f>_xlfn.XLOOKUP(C426,Customers!A:A,Customers!C:C,"MISSING")</f>
        <v>Chennai</v>
      </c>
      <c r="G426" s="1" t="str">
        <f>_xlfn.XLOOKUP(D426,Products!A:A,Products!C:C,"MISSING")</f>
        <v>Clothing</v>
      </c>
      <c r="H426" s="1">
        <f>_xlfn.XLOOKUP(D426,Products!A:A,Products!D:D,"MISSING")</f>
        <v>2500</v>
      </c>
      <c r="I426" s="1" t="str">
        <f t="shared" si="12"/>
        <v>Aug</v>
      </c>
      <c r="J426" s="1">
        <f t="shared" si="13"/>
        <v>10000</v>
      </c>
      <c r="K426" s="1" t="str">
        <f>_xlfn.XLOOKUP(C426,Customers!A:A,Customers!B:B,"MISSING")</f>
        <v>Sneha Iyer</v>
      </c>
      <c r="L426" s="1" t="str">
        <f>_xlfn.XLOOKUP(D426,Products!A:A,Products!B:B,"MISSING")</f>
        <v>Jeans</v>
      </c>
    </row>
    <row r="427" spans="1:12">
      <c r="A427" s="1">
        <v>1426</v>
      </c>
      <c r="B427" s="1" t="s">
        <v>422</v>
      </c>
      <c r="C427" s="1" t="s">
        <v>97</v>
      </c>
      <c r="D427" s="1" t="s">
        <v>151</v>
      </c>
      <c r="E427" s="1">
        <v>5</v>
      </c>
      <c r="F427" s="1" t="str">
        <f>_xlfn.XLOOKUP(C427,Customers!A:A,Customers!C:C,"MISSING")</f>
        <v>Kolkata</v>
      </c>
      <c r="G427" s="1" t="str">
        <f>_xlfn.XLOOKUP(D427,Products!A:A,Products!C:C,"MISSING")</f>
        <v>Clothing</v>
      </c>
      <c r="H427" s="1">
        <f>_xlfn.XLOOKUP(D427,Products!A:A,Products!D:D,"MISSING")</f>
        <v>1500</v>
      </c>
      <c r="I427" s="1" t="str">
        <f t="shared" si="12"/>
        <v>Nov</v>
      </c>
      <c r="J427" s="1">
        <f t="shared" si="13"/>
        <v>7500</v>
      </c>
      <c r="K427" s="1" t="str">
        <f>_xlfn.XLOOKUP(C427,Customers!A:A,Customers!B:B,"MISSING")</f>
        <v>Rohit Sen</v>
      </c>
      <c r="L427" s="1" t="str">
        <f>_xlfn.XLOOKUP(D427,Products!A:A,Products!B:B,"MISSING")</f>
        <v>T-Shirt</v>
      </c>
    </row>
    <row r="428" spans="1:12">
      <c r="A428" s="1">
        <v>1427</v>
      </c>
      <c r="B428" s="1" t="s">
        <v>350</v>
      </c>
      <c r="C428" s="1" t="s">
        <v>75</v>
      </c>
      <c r="D428" s="1" t="s">
        <v>140</v>
      </c>
      <c r="E428" s="1">
        <v>1</v>
      </c>
      <c r="F428" s="1" t="str">
        <f>_xlfn.XLOOKUP(C428,Customers!A:A,Customers!C:C,"MISSING")</f>
        <v>Mumbai</v>
      </c>
      <c r="G428" s="1" t="str">
        <f>_xlfn.XLOOKUP(D428,Products!A:A,Products!C:C,"MISSING")</f>
        <v>Electronics</v>
      </c>
      <c r="H428" s="1">
        <f>_xlfn.XLOOKUP(D428,Products!A:A,Products!D:D,"MISSING")</f>
        <v>20000</v>
      </c>
      <c r="I428" s="1" t="str">
        <f t="shared" si="12"/>
        <v>Feb</v>
      </c>
      <c r="J428" s="1">
        <f t="shared" si="13"/>
        <v>20000</v>
      </c>
      <c r="K428" s="1" t="str">
        <f>_xlfn.XLOOKUP(C428,Customers!A:A,Customers!B:B,"MISSING")</f>
        <v>Sneha Iyer</v>
      </c>
      <c r="L428" s="1" t="str">
        <f>_xlfn.XLOOKUP(D428,Products!A:A,Products!B:B,"MISSING")</f>
        <v>Mobile</v>
      </c>
    </row>
    <row r="429" spans="1:12">
      <c r="A429" s="1">
        <v>1428</v>
      </c>
      <c r="B429" s="1" t="s">
        <v>386</v>
      </c>
      <c r="C429" s="1" t="s">
        <v>56</v>
      </c>
      <c r="D429" s="1" t="s">
        <v>149</v>
      </c>
      <c r="E429" s="1">
        <v>2</v>
      </c>
      <c r="F429" s="1" t="str">
        <f>_xlfn.XLOOKUP(C429,Customers!A:A,Customers!C:C,"MISSING")</f>
        <v>Bangalore</v>
      </c>
      <c r="G429" s="1" t="str">
        <f>_xlfn.XLOOKUP(D429,Products!A:A,Products!C:C,"MISSING")</f>
        <v>Furniture</v>
      </c>
      <c r="H429" s="1">
        <f>_xlfn.XLOOKUP(D429,Products!A:A,Products!D:D,"MISSING")</f>
        <v>25000</v>
      </c>
      <c r="I429" s="1" t="str">
        <f t="shared" si="12"/>
        <v>Jun</v>
      </c>
      <c r="J429" s="1">
        <f t="shared" si="13"/>
        <v>50000</v>
      </c>
      <c r="K429" s="1" t="str">
        <f>_xlfn.XLOOKUP(C429,Customers!A:A,Customers!B:B,"MISSING")</f>
        <v>Karan Mehta</v>
      </c>
      <c r="L429" s="1" t="str">
        <f>_xlfn.XLOOKUP(D429,Products!A:A,Products!B:B,"MISSING")</f>
        <v>Sofa</v>
      </c>
    </row>
    <row r="430" spans="1:12">
      <c r="A430" s="1">
        <v>1429</v>
      </c>
      <c r="B430" s="1" t="s">
        <v>282</v>
      </c>
      <c r="C430" s="1" t="s">
        <v>38</v>
      </c>
      <c r="D430" s="1" t="s">
        <v>154</v>
      </c>
      <c r="E430" s="1">
        <v>3</v>
      </c>
      <c r="F430" s="1" t="str">
        <f>_xlfn.XLOOKUP(C430,Customers!A:A,Customers!C:C,"MISSING")</f>
        <v>Kolkata</v>
      </c>
      <c r="G430" s="1" t="str">
        <f>_xlfn.XLOOKUP(D430,Products!A:A,Products!C:C,"MISSING")</f>
        <v>Clothing</v>
      </c>
      <c r="H430" s="1">
        <f>_xlfn.XLOOKUP(D430,Products!A:A,Products!D:D,"MISSING")</f>
        <v>2500</v>
      </c>
      <c r="I430" s="1" t="str">
        <f t="shared" si="12"/>
        <v>Jan</v>
      </c>
      <c r="J430" s="1">
        <f t="shared" si="13"/>
        <v>7500</v>
      </c>
      <c r="K430" s="1" t="str">
        <f>_xlfn.XLOOKUP(C430,Customers!A:A,Customers!B:B,"MISSING")</f>
        <v>Tanya Sethi</v>
      </c>
      <c r="L430" s="1" t="str">
        <f>_xlfn.XLOOKUP(D430,Products!A:A,Products!B:B,"MISSING")</f>
        <v>Jeans</v>
      </c>
    </row>
    <row r="431" spans="1:12">
      <c r="A431" s="1">
        <v>1430</v>
      </c>
      <c r="B431" s="1" t="s">
        <v>271</v>
      </c>
      <c r="C431" s="1" t="s">
        <v>44</v>
      </c>
      <c r="D431" s="1" t="s">
        <v>149</v>
      </c>
      <c r="E431" s="1">
        <v>4</v>
      </c>
      <c r="F431" s="1" t="str">
        <f>_xlfn.XLOOKUP(C431,Customers!A:A,Customers!C:C,"MISSING")</f>
        <v>Lucknow</v>
      </c>
      <c r="G431" s="1" t="str">
        <f>_xlfn.XLOOKUP(D431,Products!A:A,Products!C:C,"MISSING")</f>
        <v>Furniture</v>
      </c>
      <c r="H431" s="1">
        <f>_xlfn.XLOOKUP(D431,Products!A:A,Products!D:D,"MISSING")</f>
        <v>25000</v>
      </c>
      <c r="I431" s="1" t="str">
        <f t="shared" si="12"/>
        <v>Feb</v>
      </c>
      <c r="J431" s="1">
        <f t="shared" si="13"/>
        <v>100000</v>
      </c>
      <c r="K431" s="1" t="str">
        <f>_xlfn.XLOOKUP(C431,Customers!A:A,Customers!B:B,"MISSING")</f>
        <v>Nitin Joshi</v>
      </c>
      <c r="L431" s="1" t="str">
        <f>_xlfn.XLOOKUP(D431,Products!A:A,Products!B:B,"MISSING")</f>
        <v>Sofa</v>
      </c>
    </row>
    <row r="432" spans="1:12">
      <c r="A432" s="1">
        <v>1431</v>
      </c>
      <c r="B432" s="1" t="s">
        <v>170</v>
      </c>
      <c r="C432" s="1" t="s">
        <v>78</v>
      </c>
      <c r="D432" s="1" t="s">
        <v>151</v>
      </c>
      <c r="E432" s="1">
        <v>2</v>
      </c>
      <c r="F432" s="1" t="str">
        <f>_xlfn.XLOOKUP(C432,Customers!A:A,Customers!C:C,"MISSING")</f>
        <v>Ahmedabad</v>
      </c>
      <c r="G432" s="1" t="str">
        <f>_xlfn.XLOOKUP(D432,Products!A:A,Products!C:C,"MISSING")</f>
        <v>Clothing</v>
      </c>
      <c r="H432" s="1">
        <f>_xlfn.XLOOKUP(D432,Products!A:A,Products!D:D,"MISSING")</f>
        <v>1500</v>
      </c>
      <c r="I432" s="1" t="str">
        <f t="shared" si="12"/>
        <v>Jul</v>
      </c>
      <c r="J432" s="1">
        <f t="shared" si="13"/>
        <v>3000</v>
      </c>
      <c r="K432" s="1" t="str">
        <f>_xlfn.XLOOKUP(C432,Customers!A:A,Customers!B:B,"MISSING")</f>
        <v>Priya Kapoor</v>
      </c>
      <c r="L432" s="1" t="str">
        <f>_xlfn.XLOOKUP(D432,Products!A:A,Products!B:B,"MISSING")</f>
        <v>T-Shirt</v>
      </c>
    </row>
    <row r="433" spans="1:12">
      <c r="A433" s="1">
        <v>1432</v>
      </c>
      <c r="B433" s="1" t="s">
        <v>212</v>
      </c>
      <c r="C433" s="1" t="s">
        <v>93</v>
      </c>
      <c r="D433" s="1" t="s">
        <v>156</v>
      </c>
      <c r="E433" s="1">
        <v>4</v>
      </c>
      <c r="F433" s="1" t="str">
        <f>_xlfn.XLOOKUP(C433,Customers!A:A,Customers!C:C,"MISSING")</f>
        <v>Lucknow</v>
      </c>
      <c r="G433" s="1" t="str">
        <f>_xlfn.XLOOKUP(D433,Products!A:A,Products!C:C,"MISSING")</f>
        <v>Clothing</v>
      </c>
      <c r="H433" s="1">
        <f>_xlfn.XLOOKUP(D433,Products!A:A,Products!D:D,"MISSING")</f>
        <v>1800</v>
      </c>
      <c r="I433" s="1" t="str">
        <f t="shared" si="12"/>
        <v>Jul</v>
      </c>
      <c r="J433" s="1">
        <f t="shared" si="13"/>
        <v>7200</v>
      </c>
      <c r="K433" s="1" t="str">
        <f>_xlfn.XLOOKUP(C433,Customers!A:A,Customers!B:B,"MISSING")</f>
        <v>Ankit Roy</v>
      </c>
      <c r="L433" s="1" t="str">
        <f>_xlfn.XLOOKUP(D433,Products!A:A,Products!B:B,"MISSING")</f>
        <v>Shirt</v>
      </c>
    </row>
    <row r="434" spans="1:12">
      <c r="A434" s="1">
        <v>1433</v>
      </c>
      <c r="B434" s="1" t="s">
        <v>423</v>
      </c>
      <c r="C434" s="1" t="s">
        <v>120</v>
      </c>
      <c r="D434" s="1" t="s">
        <v>142</v>
      </c>
      <c r="E434" s="1">
        <v>3</v>
      </c>
      <c r="F434" s="1" t="str">
        <f>_xlfn.XLOOKUP(C434,Customers!A:A,Customers!C:C,"MISSING")</f>
        <v>Chennai</v>
      </c>
      <c r="G434" s="1" t="str">
        <f>_xlfn.XLOOKUP(D434,Products!A:A,Products!C:C,"MISSING")</f>
        <v>Electronics</v>
      </c>
      <c r="H434" s="1">
        <f>_xlfn.XLOOKUP(D434,Products!A:A,Products!D:D,"MISSING")</f>
        <v>15000</v>
      </c>
      <c r="I434" s="1" t="str">
        <f t="shared" si="12"/>
        <v>Dec</v>
      </c>
      <c r="J434" s="1">
        <f t="shared" si="13"/>
        <v>45000</v>
      </c>
      <c r="K434" s="1" t="str">
        <f>_xlfn.XLOOKUP(C434,Customers!A:A,Customers!B:B,"MISSING")</f>
        <v>Arjun Malhotra</v>
      </c>
      <c r="L434" s="1" t="str">
        <f>_xlfn.XLOOKUP(D434,Products!A:A,Products!B:B,"MISSING")</f>
        <v>Tablet</v>
      </c>
    </row>
    <row r="435" spans="1:12">
      <c r="A435" s="1">
        <v>1434</v>
      </c>
      <c r="B435" s="1" t="s">
        <v>385</v>
      </c>
      <c r="C435" s="1" t="s">
        <v>56</v>
      </c>
      <c r="D435" s="1" t="s">
        <v>149</v>
      </c>
      <c r="E435" s="1">
        <v>3</v>
      </c>
      <c r="F435" s="1" t="str">
        <f>_xlfn.XLOOKUP(C435,Customers!A:A,Customers!C:C,"MISSING")</f>
        <v>Bangalore</v>
      </c>
      <c r="G435" s="1" t="str">
        <f>_xlfn.XLOOKUP(D435,Products!A:A,Products!C:C,"MISSING")</f>
        <v>Furniture</v>
      </c>
      <c r="H435" s="1">
        <f>_xlfn.XLOOKUP(D435,Products!A:A,Products!D:D,"MISSING")</f>
        <v>25000</v>
      </c>
      <c r="I435" s="1" t="str">
        <f t="shared" si="12"/>
        <v>Dec</v>
      </c>
      <c r="J435" s="1">
        <f t="shared" si="13"/>
        <v>75000</v>
      </c>
      <c r="K435" s="1" t="str">
        <f>_xlfn.XLOOKUP(C435,Customers!A:A,Customers!B:B,"MISSING")</f>
        <v>Karan Mehta</v>
      </c>
      <c r="L435" s="1" t="str">
        <f>_xlfn.XLOOKUP(D435,Products!A:A,Products!B:B,"MISSING")</f>
        <v>Sofa</v>
      </c>
    </row>
    <row r="436" spans="1:12">
      <c r="A436" s="1">
        <v>1435</v>
      </c>
      <c r="B436" s="1" t="s">
        <v>382</v>
      </c>
      <c r="C436" s="1" t="s">
        <v>23</v>
      </c>
      <c r="D436" s="1" t="s">
        <v>142</v>
      </c>
      <c r="E436" s="1">
        <v>3</v>
      </c>
      <c r="F436" s="1" t="str">
        <f>_xlfn.XLOOKUP(C436,Customers!A:A,Customers!C:C,"MISSING")</f>
        <v>Kolkata</v>
      </c>
      <c r="G436" s="1" t="str">
        <f>_xlfn.XLOOKUP(D436,Products!A:A,Products!C:C,"MISSING")</f>
        <v>Electronics</v>
      </c>
      <c r="H436" s="1">
        <f>_xlfn.XLOOKUP(D436,Products!A:A,Products!D:D,"MISSING")</f>
        <v>15000</v>
      </c>
      <c r="I436" s="1" t="str">
        <f t="shared" si="12"/>
        <v>Feb</v>
      </c>
      <c r="J436" s="1">
        <f t="shared" si="13"/>
        <v>45000</v>
      </c>
      <c r="K436" s="1" t="str">
        <f>_xlfn.XLOOKUP(C436,Customers!A:A,Customers!B:B,"MISSING")</f>
        <v>Tanya Sethi</v>
      </c>
      <c r="L436" s="1" t="str">
        <f>_xlfn.XLOOKUP(D436,Products!A:A,Products!B:B,"MISSING")</f>
        <v>Tablet</v>
      </c>
    </row>
    <row r="437" spans="1:12">
      <c r="A437" s="1">
        <v>1436</v>
      </c>
      <c r="B437" s="1" t="s">
        <v>386</v>
      </c>
      <c r="C437" s="1" t="s">
        <v>23</v>
      </c>
      <c r="D437" s="1" t="s">
        <v>142</v>
      </c>
      <c r="E437" s="1">
        <v>3</v>
      </c>
      <c r="F437" s="1" t="str">
        <f>_xlfn.XLOOKUP(C437,Customers!A:A,Customers!C:C,"MISSING")</f>
        <v>Kolkata</v>
      </c>
      <c r="G437" s="1" t="str">
        <f>_xlfn.XLOOKUP(D437,Products!A:A,Products!C:C,"MISSING")</f>
        <v>Electronics</v>
      </c>
      <c r="H437" s="1">
        <f>_xlfn.XLOOKUP(D437,Products!A:A,Products!D:D,"MISSING")</f>
        <v>15000</v>
      </c>
      <c r="I437" s="1" t="str">
        <f t="shared" si="12"/>
        <v>Jun</v>
      </c>
      <c r="J437" s="1">
        <f t="shared" si="13"/>
        <v>45000</v>
      </c>
      <c r="K437" s="1" t="str">
        <f>_xlfn.XLOOKUP(C437,Customers!A:A,Customers!B:B,"MISSING")</f>
        <v>Tanya Sethi</v>
      </c>
      <c r="L437" s="1" t="str">
        <f>_xlfn.XLOOKUP(D437,Products!A:A,Products!B:B,"MISSING")</f>
        <v>Tablet</v>
      </c>
    </row>
    <row r="438" spans="1:12">
      <c r="A438" s="1">
        <v>1437</v>
      </c>
      <c r="B438" s="1" t="s">
        <v>424</v>
      </c>
      <c r="C438" s="1" t="s">
        <v>93</v>
      </c>
      <c r="D438" s="1" t="s">
        <v>156</v>
      </c>
      <c r="E438" s="1">
        <v>5</v>
      </c>
      <c r="F438" s="1" t="str">
        <f>_xlfn.XLOOKUP(C438,Customers!A:A,Customers!C:C,"MISSING")</f>
        <v>Lucknow</v>
      </c>
      <c r="G438" s="1" t="str">
        <f>_xlfn.XLOOKUP(D438,Products!A:A,Products!C:C,"MISSING")</f>
        <v>Clothing</v>
      </c>
      <c r="H438" s="1">
        <f>_xlfn.XLOOKUP(D438,Products!A:A,Products!D:D,"MISSING")</f>
        <v>1800</v>
      </c>
      <c r="I438" s="1" t="str">
        <f t="shared" si="12"/>
        <v>Aug</v>
      </c>
      <c r="J438" s="1">
        <f t="shared" si="13"/>
        <v>9000</v>
      </c>
      <c r="K438" s="1" t="str">
        <f>_xlfn.XLOOKUP(C438,Customers!A:A,Customers!B:B,"MISSING")</f>
        <v>Ankit Roy</v>
      </c>
      <c r="L438" s="1" t="str">
        <f>_xlfn.XLOOKUP(D438,Products!A:A,Products!B:B,"MISSING")</f>
        <v>Shirt</v>
      </c>
    </row>
    <row r="439" spans="1:12">
      <c r="A439" s="1">
        <v>1438</v>
      </c>
      <c r="B439" s="1" t="s">
        <v>417</v>
      </c>
      <c r="C439" s="1" t="s">
        <v>36</v>
      </c>
      <c r="D439" s="1" t="s">
        <v>142</v>
      </c>
      <c r="E439" s="1">
        <v>3</v>
      </c>
      <c r="F439" s="1" t="str">
        <f>_xlfn.XLOOKUP(C439,Customers!A:A,Customers!C:C,"MISSING")</f>
        <v>Delhi</v>
      </c>
      <c r="G439" s="1" t="str">
        <f>_xlfn.XLOOKUP(D439,Products!A:A,Products!C:C,"MISSING")</f>
        <v>Electronics</v>
      </c>
      <c r="H439" s="1">
        <f>_xlfn.XLOOKUP(D439,Products!A:A,Products!D:D,"MISSING")</f>
        <v>15000</v>
      </c>
      <c r="I439" s="1" t="str">
        <f t="shared" si="12"/>
        <v>Mar</v>
      </c>
      <c r="J439" s="1">
        <f t="shared" si="13"/>
        <v>45000</v>
      </c>
      <c r="K439" s="1" t="str">
        <f>_xlfn.XLOOKUP(C439,Customers!A:A,Customers!B:B,"MISSING")</f>
        <v>Karan Mehta</v>
      </c>
      <c r="L439" s="1" t="str">
        <f>_xlfn.XLOOKUP(D439,Products!A:A,Products!B:B,"MISSING")</f>
        <v>Tablet</v>
      </c>
    </row>
    <row r="440" spans="1:12">
      <c r="A440" s="1">
        <v>1439</v>
      </c>
      <c r="B440" s="1" t="s">
        <v>349</v>
      </c>
      <c r="C440" s="1" t="s">
        <v>102</v>
      </c>
      <c r="D440" s="1" t="s">
        <v>137</v>
      </c>
      <c r="E440" s="1">
        <v>5</v>
      </c>
      <c r="F440" s="1" t="str">
        <f>_xlfn.XLOOKUP(C440,Customers!A:A,Customers!C:C,"MISSING")</f>
        <v>Lucknow</v>
      </c>
      <c r="G440" s="1" t="str">
        <f>_xlfn.XLOOKUP(D440,Products!A:A,Products!C:C,"MISSING")</f>
        <v>Electronics</v>
      </c>
      <c r="H440" s="1">
        <f>_xlfn.XLOOKUP(D440,Products!A:A,Products!D:D,"MISSING")</f>
        <v>50000</v>
      </c>
      <c r="I440" s="1" t="str">
        <f t="shared" si="12"/>
        <v>Feb</v>
      </c>
      <c r="J440" s="1">
        <f t="shared" si="13"/>
        <v>250000</v>
      </c>
      <c r="K440" s="1" t="str">
        <f>_xlfn.XLOOKUP(C440,Customers!A:A,Customers!B:B,"MISSING")</f>
        <v>Manav Arora</v>
      </c>
      <c r="L440" s="1" t="str">
        <f>_xlfn.XLOOKUP(D440,Products!A:A,Products!B:B,"MISSING")</f>
        <v>Laptop</v>
      </c>
    </row>
    <row r="441" spans="1:12">
      <c r="A441" s="1">
        <v>1440</v>
      </c>
      <c r="B441" s="1" t="s">
        <v>172</v>
      </c>
      <c r="C441" s="1" t="s">
        <v>68</v>
      </c>
      <c r="D441" s="1" t="s">
        <v>151</v>
      </c>
      <c r="E441" s="1">
        <v>2</v>
      </c>
      <c r="F441" s="1" t="str">
        <f>_xlfn.XLOOKUP(C441,Customers!A:A,Customers!C:C,"MISSING")</f>
        <v>Pune</v>
      </c>
      <c r="G441" s="1" t="str">
        <f>_xlfn.XLOOKUP(D441,Products!A:A,Products!C:C,"MISSING")</f>
        <v>Clothing</v>
      </c>
      <c r="H441" s="1">
        <f>_xlfn.XLOOKUP(D441,Products!A:A,Products!D:D,"MISSING")</f>
        <v>1500</v>
      </c>
      <c r="I441" s="1" t="str">
        <f t="shared" si="12"/>
        <v>Aug</v>
      </c>
      <c r="J441" s="1">
        <f t="shared" si="13"/>
        <v>3000</v>
      </c>
      <c r="K441" s="1" t="str">
        <f>_xlfn.XLOOKUP(C441,Customers!A:A,Customers!B:B,"MISSING")</f>
        <v>Arjun Malhotra</v>
      </c>
      <c r="L441" s="1" t="str">
        <f>_xlfn.XLOOKUP(D441,Products!A:A,Products!B:B,"MISSING")</f>
        <v>T-Shirt</v>
      </c>
    </row>
    <row r="442" spans="1:12">
      <c r="A442" s="1">
        <v>1441</v>
      </c>
      <c r="B442" s="1" t="s">
        <v>235</v>
      </c>
      <c r="C442" s="1" t="s">
        <v>113</v>
      </c>
      <c r="D442" s="1" t="s">
        <v>140</v>
      </c>
      <c r="E442" s="1">
        <v>3</v>
      </c>
      <c r="F442" s="1" t="str">
        <f>_xlfn.XLOOKUP(C442,Customers!A:A,Customers!C:C,"MISSING")</f>
        <v>Mumbai</v>
      </c>
      <c r="G442" s="1" t="str">
        <f>_xlfn.XLOOKUP(D442,Products!A:A,Products!C:C,"MISSING")</f>
        <v>Electronics</v>
      </c>
      <c r="H442" s="1">
        <f>_xlfn.XLOOKUP(D442,Products!A:A,Products!D:D,"MISSING")</f>
        <v>20000</v>
      </c>
      <c r="I442" s="1" t="str">
        <f t="shared" si="12"/>
        <v>Jan</v>
      </c>
      <c r="J442" s="1">
        <f t="shared" si="13"/>
        <v>60000</v>
      </c>
      <c r="K442" s="1" t="str">
        <f>_xlfn.XLOOKUP(C442,Customers!A:A,Customers!B:B,"MISSING")</f>
        <v>Rohit Sen</v>
      </c>
      <c r="L442" s="1" t="str">
        <f>_xlfn.XLOOKUP(D442,Products!A:A,Products!B:B,"MISSING")</f>
        <v>Mobile</v>
      </c>
    </row>
    <row r="443" spans="1:12">
      <c r="A443" s="1">
        <v>1442</v>
      </c>
      <c r="B443" s="1" t="s">
        <v>358</v>
      </c>
      <c r="C443" s="1" t="s">
        <v>29</v>
      </c>
      <c r="D443" s="1" t="s">
        <v>154</v>
      </c>
      <c r="E443" s="1">
        <v>1</v>
      </c>
      <c r="F443" s="1" t="str">
        <f>_xlfn.XLOOKUP(C443,Customers!A:A,Customers!C:C,"MISSING")</f>
        <v>Chennai</v>
      </c>
      <c r="G443" s="1" t="str">
        <f>_xlfn.XLOOKUP(D443,Products!A:A,Products!C:C,"MISSING")</f>
        <v>Clothing</v>
      </c>
      <c r="H443" s="1">
        <f>_xlfn.XLOOKUP(D443,Products!A:A,Products!D:D,"MISSING")</f>
        <v>2500</v>
      </c>
      <c r="I443" s="1" t="str">
        <f t="shared" si="12"/>
        <v>Sep</v>
      </c>
      <c r="J443" s="1">
        <f t="shared" si="13"/>
        <v>2500</v>
      </c>
      <c r="K443" s="1" t="str">
        <f>_xlfn.XLOOKUP(C443,Customers!A:A,Customers!B:B,"MISSING")</f>
        <v>Sejal Shah</v>
      </c>
      <c r="L443" s="1" t="str">
        <f>_xlfn.XLOOKUP(D443,Products!A:A,Products!B:B,"MISSING")</f>
        <v>Jeans</v>
      </c>
    </row>
    <row r="444" spans="1:12">
      <c r="A444" s="1">
        <v>1443</v>
      </c>
      <c r="B444" s="1" t="s">
        <v>425</v>
      </c>
      <c r="C444" s="1" t="s">
        <v>94</v>
      </c>
      <c r="D444" s="1" t="s">
        <v>140</v>
      </c>
      <c r="E444" s="1">
        <v>1</v>
      </c>
      <c r="F444" s="1" t="str">
        <f>_xlfn.XLOOKUP(C444,Customers!A:A,Customers!C:C,"MISSING")</f>
        <v>Delhi</v>
      </c>
      <c r="G444" s="1" t="str">
        <f>_xlfn.XLOOKUP(D444,Products!A:A,Products!C:C,"MISSING")</f>
        <v>Electronics</v>
      </c>
      <c r="H444" s="1">
        <f>_xlfn.XLOOKUP(D444,Products!A:A,Products!D:D,"MISSING")</f>
        <v>20000</v>
      </c>
      <c r="I444" s="1" t="str">
        <f t="shared" si="12"/>
        <v>Mar</v>
      </c>
      <c r="J444" s="1">
        <f t="shared" si="13"/>
        <v>20000</v>
      </c>
      <c r="K444" s="1" t="str">
        <f>_xlfn.XLOOKUP(C444,Customers!A:A,Customers!B:B,"MISSING")</f>
        <v>Tanya Sethi</v>
      </c>
      <c r="L444" s="1" t="str">
        <f>_xlfn.XLOOKUP(D444,Products!A:A,Products!B:B,"MISSING")</f>
        <v>Mobile</v>
      </c>
    </row>
    <row r="445" spans="1:12">
      <c r="A445" s="1">
        <v>1444</v>
      </c>
      <c r="B445" s="1" t="s">
        <v>426</v>
      </c>
      <c r="C445" s="1" t="s">
        <v>65</v>
      </c>
      <c r="D445" s="1" t="s">
        <v>154</v>
      </c>
      <c r="E445" s="1">
        <v>4</v>
      </c>
      <c r="F445" s="1" t="str">
        <f>_xlfn.XLOOKUP(C445,Customers!A:A,Customers!C:C,"MISSING")</f>
        <v>Hyderabad</v>
      </c>
      <c r="G445" s="1" t="str">
        <f>_xlfn.XLOOKUP(D445,Products!A:A,Products!C:C,"MISSING")</f>
        <v>Clothing</v>
      </c>
      <c r="H445" s="1">
        <f>_xlfn.XLOOKUP(D445,Products!A:A,Products!D:D,"MISSING")</f>
        <v>2500</v>
      </c>
      <c r="I445" s="1" t="str">
        <f t="shared" si="12"/>
        <v>Oct</v>
      </c>
      <c r="J445" s="1">
        <f t="shared" si="13"/>
        <v>10000</v>
      </c>
      <c r="K445" s="1" t="str">
        <f>_xlfn.XLOOKUP(C445,Customers!A:A,Customers!B:B,"MISSING")</f>
        <v>Sneha Iyer</v>
      </c>
      <c r="L445" s="1" t="str">
        <f>_xlfn.XLOOKUP(D445,Products!A:A,Products!B:B,"MISSING")</f>
        <v>Jeans</v>
      </c>
    </row>
    <row r="446" spans="1:12">
      <c r="A446" s="1">
        <v>1445</v>
      </c>
      <c r="B446" s="1" t="s">
        <v>286</v>
      </c>
      <c r="C446" s="1" t="s">
        <v>56</v>
      </c>
      <c r="D446" s="1" t="s">
        <v>158</v>
      </c>
      <c r="E446" s="1">
        <v>3</v>
      </c>
      <c r="F446" s="1" t="str">
        <f>_xlfn.XLOOKUP(C446,Customers!A:A,Customers!C:C,"MISSING")</f>
        <v>Bangalore</v>
      </c>
      <c r="G446" s="1" t="str">
        <f>_xlfn.XLOOKUP(D446,Products!A:A,Products!C:C,"MISSING")</f>
        <v>Clothing</v>
      </c>
      <c r="H446" s="1">
        <f>_xlfn.XLOOKUP(D446,Products!A:A,Products!D:D,"MISSING")</f>
        <v>3500</v>
      </c>
      <c r="I446" s="1" t="str">
        <f t="shared" si="12"/>
        <v>Nov</v>
      </c>
      <c r="J446" s="1">
        <f t="shared" si="13"/>
        <v>10500</v>
      </c>
      <c r="K446" s="1" t="str">
        <f>_xlfn.XLOOKUP(C446,Customers!A:A,Customers!B:B,"MISSING")</f>
        <v>Karan Mehta</v>
      </c>
      <c r="L446" s="1" t="str">
        <f>_xlfn.XLOOKUP(D446,Products!A:A,Products!B:B,"MISSING")</f>
        <v>Shoes</v>
      </c>
    </row>
    <row r="447" spans="1:12">
      <c r="A447" s="1">
        <v>1446</v>
      </c>
      <c r="B447" s="1" t="s">
        <v>315</v>
      </c>
      <c r="C447" s="1" t="s">
        <v>129</v>
      </c>
      <c r="D447" s="1" t="s">
        <v>151</v>
      </c>
      <c r="E447" s="1">
        <v>5</v>
      </c>
      <c r="F447" s="1" t="str">
        <f>_xlfn.XLOOKUP(C447,Customers!A:A,Customers!C:C,"MISSING")</f>
        <v>Chennai</v>
      </c>
      <c r="G447" s="1" t="str">
        <f>_xlfn.XLOOKUP(D447,Products!A:A,Products!C:C,"MISSING")</f>
        <v>Clothing</v>
      </c>
      <c r="H447" s="1">
        <f>_xlfn.XLOOKUP(D447,Products!A:A,Products!D:D,"MISSING")</f>
        <v>1500</v>
      </c>
      <c r="I447" s="1" t="str">
        <f t="shared" si="12"/>
        <v>Nov</v>
      </c>
      <c r="J447" s="1">
        <f t="shared" si="13"/>
        <v>7500</v>
      </c>
      <c r="K447" s="1" t="str">
        <f>_xlfn.XLOOKUP(C447,Customers!A:A,Customers!B:B,"MISSING")</f>
        <v>Neha Singh</v>
      </c>
      <c r="L447" s="1" t="str">
        <f>_xlfn.XLOOKUP(D447,Products!A:A,Products!B:B,"MISSING")</f>
        <v>T-Shirt</v>
      </c>
    </row>
    <row r="448" spans="1:12">
      <c r="A448" s="1">
        <v>1447</v>
      </c>
      <c r="B448" s="1" t="s">
        <v>341</v>
      </c>
      <c r="C448" s="1" t="s">
        <v>56</v>
      </c>
      <c r="D448" s="1" t="s">
        <v>156</v>
      </c>
      <c r="E448" s="1">
        <v>3</v>
      </c>
      <c r="F448" s="1" t="str">
        <f>_xlfn.XLOOKUP(C448,Customers!A:A,Customers!C:C,"MISSING")</f>
        <v>Bangalore</v>
      </c>
      <c r="G448" s="1" t="str">
        <f>_xlfn.XLOOKUP(D448,Products!A:A,Products!C:C,"MISSING")</f>
        <v>Clothing</v>
      </c>
      <c r="H448" s="1">
        <f>_xlfn.XLOOKUP(D448,Products!A:A,Products!D:D,"MISSING")</f>
        <v>1800</v>
      </c>
      <c r="I448" s="1" t="str">
        <f t="shared" si="12"/>
        <v>Jul</v>
      </c>
      <c r="J448" s="1">
        <f t="shared" si="13"/>
        <v>5400</v>
      </c>
      <c r="K448" s="1" t="str">
        <f>_xlfn.XLOOKUP(C448,Customers!A:A,Customers!B:B,"MISSING")</f>
        <v>Karan Mehta</v>
      </c>
      <c r="L448" s="1" t="str">
        <f>_xlfn.XLOOKUP(D448,Products!A:A,Products!B:B,"MISSING")</f>
        <v>Shirt</v>
      </c>
    </row>
    <row r="449" spans="1:12">
      <c r="A449" s="1">
        <v>1448</v>
      </c>
      <c r="B449" s="1" t="s">
        <v>427</v>
      </c>
      <c r="C449" s="1" t="s">
        <v>19</v>
      </c>
      <c r="D449" s="1" t="s">
        <v>156</v>
      </c>
      <c r="E449" s="1">
        <v>1</v>
      </c>
      <c r="F449" s="1" t="str">
        <f>_xlfn.XLOOKUP(C449,Customers!A:A,Customers!C:C,"MISSING")</f>
        <v>Hyderabad</v>
      </c>
      <c r="G449" s="1" t="str">
        <f>_xlfn.XLOOKUP(D449,Products!A:A,Products!C:C,"MISSING")</f>
        <v>Clothing</v>
      </c>
      <c r="H449" s="1">
        <f>_xlfn.XLOOKUP(D449,Products!A:A,Products!D:D,"MISSING")</f>
        <v>1800</v>
      </c>
      <c r="I449" s="1" t="str">
        <f t="shared" si="12"/>
        <v>Oct</v>
      </c>
      <c r="J449" s="1">
        <f t="shared" si="13"/>
        <v>1800</v>
      </c>
      <c r="K449" s="1" t="str">
        <f>_xlfn.XLOOKUP(C449,Customers!A:A,Customers!B:B,"MISSING")</f>
        <v>Pooja Jain</v>
      </c>
      <c r="L449" s="1" t="str">
        <f>_xlfn.XLOOKUP(D449,Products!A:A,Products!B:B,"MISSING")</f>
        <v>Shirt</v>
      </c>
    </row>
    <row r="450" spans="1:12">
      <c r="A450" s="1">
        <v>1449</v>
      </c>
      <c r="B450" s="1" t="s">
        <v>176</v>
      </c>
      <c r="C450" s="1" t="s">
        <v>112</v>
      </c>
      <c r="D450" s="1" t="s">
        <v>147</v>
      </c>
      <c r="E450" s="1">
        <v>5</v>
      </c>
      <c r="F450" s="1" t="str">
        <f>_xlfn.XLOOKUP(C450,Customers!A:A,Customers!C:C,"MISSING")</f>
        <v>Lucknow</v>
      </c>
      <c r="G450" s="1" t="str">
        <f>_xlfn.XLOOKUP(D450,Products!A:A,Products!C:C,"MISSING")</f>
        <v>Furniture</v>
      </c>
      <c r="H450" s="1">
        <f>_xlfn.XLOOKUP(D450,Products!A:A,Products!D:D,"MISSING")</f>
        <v>7000</v>
      </c>
      <c r="I450" s="1" t="str">
        <f t="shared" si="12"/>
        <v>May</v>
      </c>
      <c r="J450" s="1">
        <f t="shared" si="13"/>
        <v>35000</v>
      </c>
      <c r="K450" s="1" t="str">
        <f>_xlfn.XLOOKUP(C450,Customers!A:A,Customers!B:B,"MISSING")</f>
        <v>Manav Arora</v>
      </c>
      <c r="L450" s="1" t="str">
        <f>_xlfn.XLOOKUP(D450,Products!A:A,Products!B:B,"MISSING")</f>
        <v>Table</v>
      </c>
    </row>
    <row r="451" spans="1:12">
      <c r="A451" s="1">
        <v>1450</v>
      </c>
      <c r="B451" s="1" t="s">
        <v>428</v>
      </c>
      <c r="C451" s="1" t="s">
        <v>130</v>
      </c>
      <c r="D451" s="1" t="s">
        <v>158</v>
      </c>
      <c r="E451" s="1">
        <v>2</v>
      </c>
      <c r="F451" s="1" t="str">
        <f>_xlfn.XLOOKUP(C451,Customers!A:A,Customers!C:C,"MISSING")</f>
        <v>Mumbai</v>
      </c>
      <c r="G451" s="1" t="str">
        <f>_xlfn.XLOOKUP(D451,Products!A:A,Products!C:C,"MISSING")</f>
        <v>Clothing</v>
      </c>
      <c r="H451" s="1">
        <f>_xlfn.XLOOKUP(D451,Products!A:A,Products!D:D,"MISSING")</f>
        <v>3500</v>
      </c>
      <c r="I451" s="1" t="str">
        <f t="shared" ref="I451:I501" si="14">TEXT(B451,"mmm")</f>
        <v>May</v>
      </c>
      <c r="J451" s="1">
        <f t="shared" ref="J451:J501" si="15">E451*H451</f>
        <v>7000</v>
      </c>
      <c r="K451" s="1" t="str">
        <f>_xlfn.XLOOKUP(C451,Customers!A:A,Customers!B:B,"MISSING")</f>
        <v>Karan Mehta</v>
      </c>
      <c r="L451" s="1" t="str">
        <f>_xlfn.XLOOKUP(D451,Products!A:A,Products!B:B,"MISSING")</f>
        <v>Shoes</v>
      </c>
    </row>
    <row r="452" spans="1:12">
      <c r="A452" s="1">
        <v>1451</v>
      </c>
      <c r="B452" s="1" t="s">
        <v>429</v>
      </c>
      <c r="C452" s="1" t="s">
        <v>29</v>
      </c>
      <c r="D452" s="1" t="s">
        <v>158</v>
      </c>
      <c r="E452" s="1">
        <v>4</v>
      </c>
      <c r="F452" s="1" t="str">
        <f>_xlfn.XLOOKUP(C452,Customers!A:A,Customers!C:C,"MISSING")</f>
        <v>Chennai</v>
      </c>
      <c r="G452" s="1" t="str">
        <f>_xlfn.XLOOKUP(D452,Products!A:A,Products!C:C,"MISSING")</f>
        <v>Clothing</v>
      </c>
      <c r="H452" s="1">
        <f>_xlfn.XLOOKUP(D452,Products!A:A,Products!D:D,"MISSING")</f>
        <v>3500</v>
      </c>
      <c r="I452" s="1" t="str">
        <f t="shared" si="14"/>
        <v>May</v>
      </c>
      <c r="J452" s="1">
        <f t="shared" si="15"/>
        <v>14000</v>
      </c>
      <c r="K452" s="1" t="str">
        <f>_xlfn.XLOOKUP(C452,Customers!A:A,Customers!B:B,"MISSING")</f>
        <v>Sejal Shah</v>
      </c>
      <c r="L452" s="1" t="str">
        <f>_xlfn.XLOOKUP(D452,Products!A:A,Products!B:B,"MISSING")</f>
        <v>Shoes</v>
      </c>
    </row>
    <row r="453" spans="1:12">
      <c r="A453" s="1">
        <v>1452</v>
      </c>
      <c r="B453" s="1" t="s">
        <v>430</v>
      </c>
      <c r="C453" s="1" t="s">
        <v>109</v>
      </c>
      <c r="D453" s="1" t="s">
        <v>158</v>
      </c>
      <c r="E453" s="1">
        <v>3</v>
      </c>
      <c r="F453" s="1" t="str">
        <f>_xlfn.XLOOKUP(C453,Customers!A:A,Customers!C:C,"MISSING")</f>
        <v>Mumbai</v>
      </c>
      <c r="G453" s="1" t="str">
        <f>_xlfn.XLOOKUP(D453,Products!A:A,Products!C:C,"MISSING")</f>
        <v>Clothing</v>
      </c>
      <c r="H453" s="1">
        <f>_xlfn.XLOOKUP(D453,Products!A:A,Products!D:D,"MISSING")</f>
        <v>3500</v>
      </c>
      <c r="I453" s="1" t="str">
        <f t="shared" si="14"/>
        <v>Aug</v>
      </c>
      <c r="J453" s="1">
        <f t="shared" si="15"/>
        <v>10500</v>
      </c>
      <c r="K453" s="1" t="str">
        <f>_xlfn.XLOOKUP(C453,Customers!A:A,Customers!B:B,"MISSING")</f>
        <v>Nitin Joshi</v>
      </c>
      <c r="L453" s="1" t="str">
        <f>_xlfn.XLOOKUP(D453,Products!A:A,Products!B:B,"MISSING")</f>
        <v>Shoes</v>
      </c>
    </row>
    <row r="454" spans="1:12">
      <c r="A454" s="1">
        <v>1453</v>
      </c>
      <c r="B454" s="1" t="s">
        <v>166</v>
      </c>
      <c r="C454" s="1" t="s">
        <v>11</v>
      </c>
      <c r="D454" s="1" t="s">
        <v>151</v>
      </c>
      <c r="E454" s="1">
        <v>2</v>
      </c>
      <c r="F454" s="1" t="str">
        <f>_xlfn.XLOOKUP(C454,Customers!A:A,Customers!C:C,"MISSING")</f>
        <v>Chennai</v>
      </c>
      <c r="G454" s="1" t="str">
        <f>_xlfn.XLOOKUP(D454,Products!A:A,Products!C:C,"MISSING")</f>
        <v>Clothing</v>
      </c>
      <c r="H454" s="1">
        <f>_xlfn.XLOOKUP(D454,Products!A:A,Products!D:D,"MISSING")</f>
        <v>1500</v>
      </c>
      <c r="I454" s="1" t="str">
        <f t="shared" si="14"/>
        <v>May</v>
      </c>
      <c r="J454" s="1">
        <f t="shared" si="15"/>
        <v>3000</v>
      </c>
      <c r="K454" s="1" t="str">
        <f>_xlfn.XLOOKUP(C454,Customers!A:A,Customers!B:B,"MISSING")</f>
        <v>Sneha Iyer</v>
      </c>
      <c r="L454" s="1" t="str">
        <f>_xlfn.XLOOKUP(D454,Products!A:A,Products!B:B,"MISSING")</f>
        <v>T-Shirt</v>
      </c>
    </row>
    <row r="455" spans="1:12">
      <c r="A455" s="1">
        <v>1454</v>
      </c>
      <c r="B455" s="1" t="s">
        <v>407</v>
      </c>
      <c r="C455" s="1" t="s">
        <v>83</v>
      </c>
      <c r="D455" s="1" t="s">
        <v>149</v>
      </c>
      <c r="E455" s="1">
        <v>3</v>
      </c>
      <c r="F455" s="1" t="str">
        <f>_xlfn.XLOOKUP(C455,Customers!A:A,Customers!C:C,"MISSING")</f>
        <v>Bangalore</v>
      </c>
      <c r="G455" s="1" t="str">
        <f>_xlfn.XLOOKUP(D455,Products!A:A,Products!C:C,"MISSING")</f>
        <v>Furniture</v>
      </c>
      <c r="H455" s="1">
        <f>_xlfn.XLOOKUP(D455,Products!A:A,Products!D:D,"MISSING")</f>
        <v>25000</v>
      </c>
      <c r="I455" s="1" t="str">
        <f t="shared" si="14"/>
        <v>Feb</v>
      </c>
      <c r="J455" s="1">
        <f t="shared" si="15"/>
        <v>75000</v>
      </c>
      <c r="K455" s="1" t="str">
        <f>_xlfn.XLOOKUP(C455,Customers!A:A,Customers!B:B,"MISSING")</f>
        <v>Priya Kapoor</v>
      </c>
      <c r="L455" s="1" t="str">
        <f>_xlfn.XLOOKUP(D455,Products!A:A,Products!B:B,"MISSING")</f>
        <v>Sofa</v>
      </c>
    </row>
    <row r="456" spans="1:12">
      <c r="A456" s="1">
        <v>1455</v>
      </c>
      <c r="B456" s="1" t="s">
        <v>291</v>
      </c>
      <c r="C456" s="1" t="s">
        <v>46</v>
      </c>
      <c r="D456" s="1" t="s">
        <v>142</v>
      </c>
      <c r="E456" s="1">
        <v>2</v>
      </c>
      <c r="F456" s="1" t="str">
        <f>_xlfn.XLOOKUP(C456,Customers!A:A,Customers!C:C,"MISSING")</f>
        <v>Bangalore</v>
      </c>
      <c r="G456" s="1" t="str">
        <f>_xlfn.XLOOKUP(D456,Products!A:A,Products!C:C,"MISSING")</f>
        <v>Electronics</v>
      </c>
      <c r="H456" s="1">
        <f>_xlfn.XLOOKUP(D456,Products!A:A,Products!D:D,"MISSING")</f>
        <v>15000</v>
      </c>
      <c r="I456" s="1" t="str">
        <f t="shared" si="14"/>
        <v>Dec</v>
      </c>
      <c r="J456" s="1">
        <f t="shared" si="15"/>
        <v>30000</v>
      </c>
      <c r="K456" s="1" t="str">
        <f>_xlfn.XLOOKUP(C456,Customers!A:A,Customers!B:B,"MISSING")</f>
        <v>Manav Arora</v>
      </c>
      <c r="L456" s="1" t="str">
        <f>_xlfn.XLOOKUP(D456,Products!A:A,Products!B:B,"MISSING")</f>
        <v>Tablet</v>
      </c>
    </row>
    <row r="457" spans="1:12">
      <c r="A457" s="1">
        <v>1456</v>
      </c>
      <c r="B457" s="1" t="s">
        <v>395</v>
      </c>
      <c r="C457" s="1" t="s">
        <v>80</v>
      </c>
      <c r="D457" s="1" t="s">
        <v>137</v>
      </c>
      <c r="E457" s="1">
        <v>2</v>
      </c>
      <c r="F457" s="1" t="str">
        <f>_xlfn.XLOOKUP(C457,Customers!A:A,Customers!C:C,"MISSING")</f>
        <v>Kolkata</v>
      </c>
      <c r="G457" s="1" t="str">
        <f>_xlfn.XLOOKUP(D457,Products!A:A,Products!C:C,"MISSING")</f>
        <v>Electronics</v>
      </c>
      <c r="H457" s="1">
        <f>_xlfn.XLOOKUP(D457,Products!A:A,Products!D:D,"MISSING")</f>
        <v>50000</v>
      </c>
      <c r="I457" s="1" t="str">
        <f t="shared" si="14"/>
        <v>Apr</v>
      </c>
      <c r="J457" s="1">
        <f t="shared" si="15"/>
        <v>100000</v>
      </c>
      <c r="K457" s="1" t="str">
        <f>_xlfn.XLOOKUP(C457,Customers!A:A,Customers!B:B,"MISSING")</f>
        <v>Arjun Malhotra</v>
      </c>
      <c r="L457" s="1" t="str">
        <f>_xlfn.XLOOKUP(D457,Products!A:A,Products!B:B,"MISSING")</f>
        <v>Laptop</v>
      </c>
    </row>
    <row r="458" spans="1:12">
      <c r="A458" s="1">
        <v>1457</v>
      </c>
      <c r="B458" s="1" t="s">
        <v>301</v>
      </c>
      <c r="C458" s="1" t="s">
        <v>36</v>
      </c>
      <c r="D458" s="1" t="s">
        <v>154</v>
      </c>
      <c r="E458" s="1">
        <v>2</v>
      </c>
      <c r="F458" s="1" t="str">
        <f>_xlfn.XLOOKUP(C458,Customers!A:A,Customers!C:C,"MISSING")</f>
        <v>Delhi</v>
      </c>
      <c r="G458" s="1" t="str">
        <f>_xlfn.XLOOKUP(D458,Products!A:A,Products!C:C,"MISSING")</f>
        <v>Clothing</v>
      </c>
      <c r="H458" s="1">
        <f>_xlfn.XLOOKUP(D458,Products!A:A,Products!D:D,"MISSING")</f>
        <v>2500</v>
      </c>
      <c r="I458" s="1" t="str">
        <f t="shared" si="14"/>
        <v>Oct</v>
      </c>
      <c r="J458" s="1">
        <f t="shared" si="15"/>
        <v>5000</v>
      </c>
      <c r="K458" s="1" t="str">
        <f>_xlfn.XLOOKUP(C458,Customers!A:A,Customers!B:B,"MISSING")</f>
        <v>Karan Mehta</v>
      </c>
      <c r="L458" s="1" t="str">
        <f>_xlfn.XLOOKUP(D458,Products!A:A,Products!B:B,"MISSING")</f>
        <v>Jeans</v>
      </c>
    </row>
    <row r="459" spans="1:12">
      <c r="A459" s="1">
        <v>1458</v>
      </c>
      <c r="B459" s="1" t="s">
        <v>249</v>
      </c>
      <c r="C459" s="1" t="s">
        <v>102</v>
      </c>
      <c r="D459" s="1" t="s">
        <v>144</v>
      </c>
      <c r="E459" s="1">
        <v>3</v>
      </c>
      <c r="F459" s="1" t="str">
        <f>_xlfn.XLOOKUP(C459,Customers!A:A,Customers!C:C,"MISSING")</f>
        <v>Lucknow</v>
      </c>
      <c r="G459" s="1" t="str">
        <f>_xlfn.XLOOKUP(D459,Products!A:A,Products!C:C,"MISSING")</f>
        <v>Furniture</v>
      </c>
      <c r="H459" s="1">
        <f>_xlfn.XLOOKUP(D459,Products!A:A,Products!D:D,"MISSING")</f>
        <v>3000</v>
      </c>
      <c r="I459" s="1" t="str">
        <f t="shared" si="14"/>
        <v>Jan</v>
      </c>
      <c r="J459" s="1">
        <f t="shared" si="15"/>
        <v>9000</v>
      </c>
      <c r="K459" s="1" t="str">
        <f>_xlfn.XLOOKUP(C459,Customers!A:A,Customers!B:B,"MISSING")</f>
        <v>Manav Arora</v>
      </c>
      <c r="L459" s="1" t="str">
        <f>_xlfn.XLOOKUP(D459,Products!A:A,Products!B:B,"MISSING")</f>
        <v>Chair</v>
      </c>
    </row>
    <row r="460" spans="1:12">
      <c r="A460" s="1">
        <v>1459</v>
      </c>
      <c r="B460" s="1" t="s">
        <v>372</v>
      </c>
      <c r="C460" s="1" t="s">
        <v>68</v>
      </c>
      <c r="D460" s="1" t="s">
        <v>154</v>
      </c>
      <c r="E460" s="1">
        <v>3</v>
      </c>
      <c r="F460" s="1" t="str">
        <f>_xlfn.XLOOKUP(C460,Customers!A:A,Customers!C:C,"MISSING")</f>
        <v>Pune</v>
      </c>
      <c r="G460" s="1" t="str">
        <f>_xlfn.XLOOKUP(D460,Products!A:A,Products!C:C,"MISSING")</f>
        <v>Clothing</v>
      </c>
      <c r="H460" s="1">
        <f>_xlfn.XLOOKUP(D460,Products!A:A,Products!D:D,"MISSING")</f>
        <v>2500</v>
      </c>
      <c r="I460" s="1" t="str">
        <f t="shared" si="14"/>
        <v>May</v>
      </c>
      <c r="J460" s="1">
        <f t="shared" si="15"/>
        <v>7500</v>
      </c>
      <c r="K460" s="1" t="str">
        <f>_xlfn.XLOOKUP(C460,Customers!A:A,Customers!B:B,"MISSING")</f>
        <v>Arjun Malhotra</v>
      </c>
      <c r="L460" s="1" t="str">
        <f>_xlfn.XLOOKUP(D460,Products!A:A,Products!B:B,"MISSING")</f>
        <v>Jeans</v>
      </c>
    </row>
    <row r="461" spans="1:12">
      <c r="A461" s="1">
        <v>1460</v>
      </c>
      <c r="B461" s="1" t="s">
        <v>431</v>
      </c>
      <c r="C461" s="1" t="s">
        <v>83</v>
      </c>
      <c r="D461" s="1" t="s">
        <v>144</v>
      </c>
      <c r="E461" s="1">
        <v>3</v>
      </c>
      <c r="F461" s="1" t="str">
        <f>_xlfn.XLOOKUP(C461,Customers!A:A,Customers!C:C,"MISSING")</f>
        <v>Bangalore</v>
      </c>
      <c r="G461" s="1" t="str">
        <f>_xlfn.XLOOKUP(D461,Products!A:A,Products!C:C,"MISSING")</f>
        <v>Furniture</v>
      </c>
      <c r="H461" s="1">
        <f>_xlfn.XLOOKUP(D461,Products!A:A,Products!D:D,"MISSING")</f>
        <v>3000</v>
      </c>
      <c r="I461" s="1" t="str">
        <f t="shared" si="14"/>
        <v>Nov</v>
      </c>
      <c r="J461" s="1">
        <f t="shared" si="15"/>
        <v>9000</v>
      </c>
      <c r="K461" s="1" t="str">
        <f>_xlfn.XLOOKUP(C461,Customers!A:A,Customers!B:B,"MISSING")</f>
        <v>Priya Kapoor</v>
      </c>
      <c r="L461" s="1" t="str">
        <f>_xlfn.XLOOKUP(D461,Products!A:A,Products!B:B,"MISSING")</f>
        <v>Chair</v>
      </c>
    </row>
    <row r="462" spans="1:12">
      <c r="A462" s="1">
        <v>1461</v>
      </c>
      <c r="B462" s="1" t="s">
        <v>252</v>
      </c>
      <c r="C462" s="1" t="s">
        <v>132</v>
      </c>
      <c r="D462" s="1" t="s">
        <v>147</v>
      </c>
      <c r="E462" s="1">
        <v>3</v>
      </c>
      <c r="F462" s="1" t="str">
        <f>_xlfn.XLOOKUP(C462,Customers!A:A,Customers!C:C,"MISSING")</f>
        <v>Jaipur</v>
      </c>
      <c r="G462" s="1" t="str">
        <f>_xlfn.XLOOKUP(D462,Products!A:A,Products!C:C,"MISSING")</f>
        <v>Furniture</v>
      </c>
      <c r="H462" s="1">
        <f>_xlfn.XLOOKUP(D462,Products!A:A,Products!D:D,"MISSING")</f>
        <v>7000</v>
      </c>
      <c r="I462" s="1" t="str">
        <f t="shared" si="14"/>
        <v>Sep</v>
      </c>
      <c r="J462" s="1">
        <f t="shared" si="15"/>
        <v>21000</v>
      </c>
      <c r="K462" s="1" t="str">
        <f>_xlfn.XLOOKUP(C462,Customers!A:A,Customers!B:B,"MISSING")</f>
        <v>Ravi Patel</v>
      </c>
      <c r="L462" s="1" t="str">
        <f>_xlfn.XLOOKUP(D462,Products!A:A,Products!B:B,"MISSING")</f>
        <v>Table</v>
      </c>
    </row>
    <row r="463" spans="1:12">
      <c r="A463" s="1">
        <v>1462</v>
      </c>
      <c r="B463" s="1" t="s">
        <v>335</v>
      </c>
      <c r="C463" s="1" t="s">
        <v>44</v>
      </c>
      <c r="D463" s="1" t="s">
        <v>140</v>
      </c>
      <c r="E463" s="1">
        <v>2</v>
      </c>
      <c r="F463" s="1" t="str">
        <f>_xlfn.XLOOKUP(C463,Customers!A:A,Customers!C:C,"MISSING")</f>
        <v>Lucknow</v>
      </c>
      <c r="G463" s="1" t="str">
        <f>_xlfn.XLOOKUP(D463,Products!A:A,Products!C:C,"MISSING")</f>
        <v>Electronics</v>
      </c>
      <c r="H463" s="1">
        <f>_xlfn.XLOOKUP(D463,Products!A:A,Products!D:D,"MISSING")</f>
        <v>20000</v>
      </c>
      <c r="I463" s="1" t="str">
        <f t="shared" si="14"/>
        <v>Feb</v>
      </c>
      <c r="J463" s="1">
        <f t="shared" si="15"/>
        <v>40000</v>
      </c>
      <c r="K463" s="1" t="str">
        <f>_xlfn.XLOOKUP(C463,Customers!A:A,Customers!B:B,"MISSING")</f>
        <v>Nitin Joshi</v>
      </c>
      <c r="L463" s="1" t="str">
        <f>_xlfn.XLOOKUP(D463,Products!A:A,Products!B:B,"MISSING")</f>
        <v>Mobile</v>
      </c>
    </row>
    <row r="464" spans="1:12">
      <c r="A464" s="1">
        <v>1463</v>
      </c>
      <c r="B464" s="1" t="s">
        <v>329</v>
      </c>
      <c r="C464" s="1" t="s">
        <v>119</v>
      </c>
      <c r="D464" s="1" t="s">
        <v>147</v>
      </c>
      <c r="E464" s="1">
        <v>5</v>
      </c>
      <c r="F464" s="1" t="str">
        <f>_xlfn.XLOOKUP(C464,Customers!A:A,Customers!C:C,"MISSING")</f>
        <v>Delhi</v>
      </c>
      <c r="G464" s="1" t="str">
        <f>_xlfn.XLOOKUP(D464,Products!A:A,Products!C:C,"MISSING")</f>
        <v>Furniture</v>
      </c>
      <c r="H464" s="1">
        <f>_xlfn.XLOOKUP(D464,Products!A:A,Products!D:D,"MISSING")</f>
        <v>7000</v>
      </c>
      <c r="I464" s="1" t="str">
        <f t="shared" si="14"/>
        <v>Jun</v>
      </c>
      <c r="J464" s="1">
        <f t="shared" si="15"/>
        <v>35000</v>
      </c>
      <c r="K464" s="1" t="str">
        <f>_xlfn.XLOOKUP(C464,Customers!A:A,Customers!B:B,"MISSING")</f>
        <v>Arjun Malhotra</v>
      </c>
      <c r="L464" s="1" t="str">
        <f>_xlfn.XLOOKUP(D464,Products!A:A,Products!B:B,"MISSING")</f>
        <v>Table</v>
      </c>
    </row>
    <row r="465" spans="1:12">
      <c r="A465" s="1">
        <v>1464</v>
      </c>
      <c r="B465" s="1" t="s">
        <v>375</v>
      </c>
      <c r="C465" s="1" t="s">
        <v>76</v>
      </c>
      <c r="D465" s="1" t="s">
        <v>147</v>
      </c>
      <c r="E465" s="1">
        <v>2</v>
      </c>
      <c r="F465" s="1" t="str">
        <f>_xlfn.XLOOKUP(C465,Customers!A:A,Customers!C:C,"MISSING")</f>
        <v>Ahmedabad</v>
      </c>
      <c r="G465" s="1" t="str">
        <f>_xlfn.XLOOKUP(D465,Products!A:A,Products!C:C,"MISSING")</f>
        <v>Furniture</v>
      </c>
      <c r="H465" s="1">
        <f>_xlfn.XLOOKUP(D465,Products!A:A,Products!D:D,"MISSING")</f>
        <v>7000</v>
      </c>
      <c r="I465" s="1" t="str">
        <f t="shared" si="14"/>
        <v>Apr</v>
      </c>
      <c r="J465" s="1">
        <f t="shared" si="15"/>
        <v>14000</v>
      </c>
      <c r="K465" s="1" t="str">
        <f>_xlfn.XLOOKUP(C465,Customers!A:A,Customers!B:B,"MISSING")</f>
        <v>Riya Das</v>
      </c>
      <c r="L465" s="1" t="str">
        <f>_xlfn.XLOOKUP(D465,Products!A:A,Products!B:B,"MISSING")</f>
        <v>Table</v>
      </c>
    </row>
    <row r="466" spans="1:12">
      <c r="A466" s="1">
        <v>1465</v>
      </c>
      <c r="B466" s="1" t="s">
        <v>432</v>
      </c>
      <c r="C466" s="1" t="s">
        <v>44</v>
      </c>
      <c r="D466" s="1" t="s">
        <v>147</v>
      </c>
      <c r="E466" s="1">
        <v>2</v>
      </c>
      <c r="F466" s="1" t="str">
        <f>_xlfn.XLOOKUP(C466,Customers!A:A,Customers!C:C,"MISSING")</f>
        <v>Lucknow</v>
      </c>
      <c r="G466" s="1" t="str">
        <f>_xlfn.XLOOKUP(D466,Products!A:A,Products!C:C,"MISSING")</f>
        <v>Furniture</v>
      </c>
      <c r="H466" s="1">
        <f>_xlfn.XLOOKUP(D466,Products!A:A,Products!D:D,"MISSING")</f>
        <v>7000</v>
      </c>
      <c r="I466" s="1" t="str">
        <f t="shared" si="14"/>
        <v>Sep</v>
      </c>
      <c r="J466" s="1">
        <f t="shared" si="15"/>
        <v>14000</v>
      </c>
      <c r="K466" s="1" t="str">
        <f>_xlfn.XLOOKUP(C466,Customers!A:A,Customers!B:B,"MISSING")</f>
        <v>Nitin Joshi</v>
      </c>
      <c r="L466" s="1" t="str">
        <f>_xlfn.XLOOKUP(D466,Products!A:A,Products!B:B,"MISSING")</f>
        <v>Table</v>
      </c>
    </row>
    <row r="467" spans="1:12">
      <c r="A467" s="1">
        <v>1466</v>
      </c>
      <c r="B467" s="1" t="s">
        <v>299</v>
      </c>
      <c r="C467" s="1" t="s">
        <v>56</v>
      </c>
      <c r="D467" s="1" t="s">
        <v>140</v>
      </c>
      <c r="E467" s="1">
        <v>4</v>
      </c>
      <c r="F467" s="1" t="str">
        <f>_xlfn.XLOOKUP(C467,Customers!A:A,Customers!C:C,"MISSING")</f>
        <v>Bangalore</v>
      </c>
      <c r="G467" s="1" t="str">
        <f>_xlfn.XLOOKUP(D467,Products!A:A,Products!C:C,"MISSING")</f>
        <v>Electronics</v>
      </c>
      <c r="H467" s="1">
        <f>_xlfn.XLOOKUP(D467,Products!A:A,Products!D:D,"MISSING")</f>
        <v>20000</v>
      </c>
      <c r="I467" s="1" t="str">
        <f t="shared" si="14"/>
        <v>Apr</v>
      </c>
      <c r="J467" s="1">
        <f t="shared" si="15"/>
        <v>80000</v>
      </c>
      <c r="K467" s="1" t="str">
        <f>_xlfn.XLOOKUP(C467,Customers!A:A,Customers!B:B,"MISSING")</f>
        <v>Karan Mehta</v>
      </c>
      <c r="L467" s="1" t="str">
        <f>_xlfn.XLOOKUP(D467,Products!A:A,Products!B:B,"MISSING")</f>
        <v>Mobile</v>
      </c>
    </row>
    <row r="468" spans="1:12">
      <c r="A468" s="1">
        <v>1467</v>
      </c>
      <c r="B468" s="1" t="s">
        <v>433</v>
      </c>
      <c r="C468" s="1" t="s">
        <v>101</v>
      </c>
      <c r="D468" s="1" t="s">
        <v>149</v>
      </c>
      <c r="E468" s="1">
        <v>4</v>
      </c>
      <c r="F468" s="1" t="str">
        <f>_xlfn.XLOOKUP(C468,Customers!A:A,Customers!C:C,"MISSING")</f>
        <v>Chennai</v>
      </c>
      <c r="G468" s="1" t="str">
        <f>_xlfn.XLOOKUP(D468,Products!A:A,Products!C:C,"MISSING")</f>
        <v>Furniture</v>
      </c>
      <c r="H468" s="1">
        <f>_xlfn.XLOOKUP(D468,Products!A:A,Products!D:D,"MISSING")</f>
        <v>25000</v>
      </c>
      <c r="I468" s="1" t="str">
        <f t="shared" si="14"/>
        <v>Jul</v>
      </c>
      <c r="J468" s="1">
        <f t="shared" si="15"/>
        <v>100000</v>
      </c>
      <c r="K468" s="1" t="str">
        <f>_xlfn.XLOOKUP(C468,Customers!A:A,Customers!B:B,"MISSING")</f>
        <v>Rahul Sharma</v>
      </c>
      <c r="L468" s="1" t="str">
        <f>_xlfn.XLOOKUP(D468,Products!A:A,Products!B:B,"MISSING")</f>
        <v>Sofa</v>
      </c>
    </row>
    <row r="469" spans="1:12">
      <c r="A469" s="1">
        <v>1468</v>
      </c>
      <c r="B469" s="1" t="s">
        <v>434</v>
      </c>
      <c r="C469" s="1" t="s">
        <v>94</v>
      </c>
      <c r="D469" s="1" t="s">
        <v>149</v>
      </c>
      <c r="E469" s="1">
        <v>2</v>
      </c>
      <c r="F469" s="1" t="str">
        <f>_xlfn.XLOOKUP(C469,Customers!A:A,Customers!C:C,"MISSING")</f>
        <v>Delhi</v>
      </c>
      <c r="G469" s="1" t="str">
        <f>_xlfn.XLOOKUP(D469,Products!A:A,Products!C:C,"MISSING")</f>
        <v>Furniture</v>
      </c>
      <c r="H469" s="1">
        <f>_xlfn.XLOOKUP(D469,Products!A:A,Products!D:D,"MISSING")</f>
        <v>25000</v>
      </c>
      <c r="I469" s="1" t="str">
        <f t="shared" si="14"/>
        <v>Dec</v>
      </c>
      <c r="J469" s="1">
        <f t="shared" si="15"/>
        <v>50000</v>
      </c>
      <c r="K469" s="1" t="str">
        <f>_xlfn.XLOOKUP(C469,Customers!A:A,Customers!B:B,"MISSING")</f>
        <v>Tanya Sethi</v>
      </c>
      <c r="L469" s="1" t="str">
        <f>_xlfn.XLOOKUP(D469,Products!A:A,Products!B:B,"MISSING")</f>
        <v>Sofa</v>
      </c>
    </row>
    <row r="470" spans="1:12">
      <c r="A470" s="1">
        <v>1469</v>
      </c>
      <c r="B470" s="1" t="s">
        <v>403</v>
      </c>
      <c r="C470" s="1" t="s">
        <v>38</v>
      </c>
      <c r="D470" s="1" t="s">
        <v>147</v>
      </c>
      <c r="E470" s="1">
        <v>3</v>
      </c>
      <c r="F470" s="1" t="str">
        <f>_xlfn.XLOOKUP(C470,Customers!A:A,Customers!C:C,"MISSING")</f>
        <v>Kolkata</v>
      </c>
      <c r="G470" s="1" t="str">
        <f>_xlfn.XLOOKUP(D470,Products!A:A,Products!C:C,"MISSING")</f>
        <v>Furniture</v>
      </c>
      <c r="H470" s="1">
        <f>_xlfn.XLOOKUP(D470,Products!A:A,Products!D:D,"MISSING")</f>
        <v>7000</v>
      </c>
      <c r="I470" s="1" t="str">
        <f t="shared" si="14"/>
        <v>Oct</v>
      </c>
      <c r="J470" s="1">
        <f t="shared" si="15"/>
        <v>21000</v>
      </c>
      <c r="K470" s="1" t="str">
        <f>_xlfn.XLOOKUP(C470,Customers!A:A,Customers!B:B,"MISSING")</f>
        <v>Tanya Sethi</v>
      </c>
      <c r="L470" s="1" t="str">
        <f>_xlfn.XLOOKUP(D470,Products!A:A,Products!B:B,"MISSING")</f>
        <v>Table</v>
      </c>
    </row>
    <row r="471" spans="1:12">
      <c r="A471" s="1">
        <v>1470</v>
      </c>
      <c r="B471" s="1" t="s">
        <v>435</v>
      </c>
      <c r="C471" s="1" t="s">
        <v>70</v>
      </c>
      <c r="D471" s="1" t="s">
        <v>142</v>
      </c>
      <c r="E471" s="1">
        <v>2</v>
      </c>
      <c r="F471" s="1" t="str">
        <f>_xlfn.XLOOKUP(C471,Customers!A:A,Customers!C:C,"MISSING")</f>
        <v>Delhi</v>
      </c>
      <c r="G471" s="1" t="str">
        <f>_xlfn.XLOOKUP(D471,Products!A:A,Products!C:C,"MISSING")</f>
        <v>Electronics</v>
      </c>
      <c r="H471" s="1">
        <f>_xlfn.XLOOKUP(D471,Products!A:A,Products!D:D,"MISSING")</f>
        <v>15000</v>
      </c>
      <c r="I471" s="1" t="str">
        <f t="shared" si="14"/>
        <v>Oct</v>
      </c>
      <c r="J471" s="1">
        <f t="shared" si="15"/>
        <v>30000</v>
      </c>
      <c r="K471" s="1" t="str">
        <f>_xlfn.XLOOKUP(C471,Customers!A:A,Customers!B:B,"MISSING")</f>
        <v>Amit Verma</v>
      </c>
      <c r="L471" s="1" t="str">
        <f>_xlfn.XLOOKUP(D471,Products!A:A,Products!B:B,"MISSING")</f>
        <v>Tablet</v>
      </c>
    </row>
    <row r="472" spans="1:12">
      <c r="A472" s="1">
        <v>1471</v>
      </c>
      <c r="B472" s="1" t="s">
        <v>345</v>
      </c>
      <c r="C472" s="1" t="s">
        <v>40</v>
      </c>
      <c r="D472" s="1" t="s">
        <v>144</v>
      </c>
      <c r="E472" s="1">
        <v>3</v>
      </c>
      <c r="F472" s="1" t="str">
        <f>_xlfn.XLOOKUP(C472,Customers!A:A,Customers!C:C,"MISSING")</f>
        <v>Ahmedabad</v>
      </c>
      <c r="G472" s="1" t="str">
        <f>_xlfn.XLOOKUP(D472,Products!A:A,Products!C:C,"MISSING")</f>
        <v>Furniture</v>
      </c>
      <c r="H472" s="1">
        <f>_xlfn.XLOOKUP(D472,Products!A:A,Products!D:D,"MISSING")</f>
        <v>3000</v>
      </c>
      <c r="I472" s="1" t="str">
        <f t="shared" si="14"/>
        <v>Jun</v>
      </c>
      <c r="J472" s="1">
        <f t="shared" si="15"/>
        <v>9000</v>
      </c>
      <c r="K472" s="1" t="str">
        <f>_xlfn.XLOOKUP(C472,Customers!A:A,Customers!B:B,"MISSING")</f>
        <v>Neha Singh</v>
      </c>
      <c r="L472" s="1" t="str">
        <f>_xlfn.XLOOKUP(D472,Products!A:A,Products!B:B,"MISSING")</f>
        <v>Chair</v>
      </c>
    </row>
    <row r="473" spans="1:12">
      <c r="A473" s="1">
        <v>1472</v>
      </c>
      <c r="B473" s="1" t="s">
        <v>332</v>
      </c>
      <c r="C473" s="1" t="s">
        <v>74</v>
      </c>
      <c r="D473" s="1" t="s">
        <v>158</v>
      </c>
      <c r="E473" s="1">
        <v>5</v>
      </c>
      <c r="F473" s="1" t="str">
        <f>_xlfn.XLOOKUP(C473,Customers!A:A,Customers!C:C,"MISSING")</f>
        <v>Lucknow</v>
      </c>
      <c r="G473" s="1" t="str">
        <f>_xlfn.XLOOKUP(D473,Products!A:A,Products!C:C,"MISSING")</f>
        <v>Clothing</v>
      </c>
      <c r="H473" s="1">
        <f>_xlfn.XLOOKUP(D473,Products!A:A,Products!D:D,"MISSING")</f>
        <v>3500</v>
      </c>
      <c r="I473" s="1" t="str">
        <f t="shared" si="14"/>
        <v>May</v>
      </c>
      <c r="J473" s="1">
        <f t="shared" si="15"/>
        <v>17500</v>
      </c>
      <c r="K473" s="1" t="str">
        <f>_xlfn.XLOOKUP(C473,Customers!A:A,Customers!B:B,"MISSING")</f>
        <v>Nitin Joshi</v>
      </c>
      <c r="L473" s="1" t="str">
        <f>_xlfn.XLOOKUP(D473,Products!A:A,Products!B:B,"MISSING")</f>
        <v>Shoes</v>
      </c>
    </row>
    <row r="474" spans="1:12">
      <c r="A474" s="1">
        <v>1473</v>
      </c>
      <c r="B474" s="1" t="s">
        <v>227</v>
      </c>
      <c r="C474" s="1" t="s">
        <v>26</v>
      </c>
      <c r="D474" s="1" t="s">
        <v>156</v>
      </c>
      <c r="E474" s="1">
        <v>4</v>
      </c>
      <c r="F474" s="1" t="str">
        <f>_xlfn.XLOOKUP(C474,Customers!A:A,Customers!C:C,"MISSING")</f>
        <v>Ahmedabad</v>
      </c>
      <c r="G474" s="1" t="str">
        <f>_xlfn.XLOOKUP(D474,Products!A:A,Products!C:C,"MISSING")</f>
        <v>Clothing</v>
      </c>
      <c r="H474" s="1">
        <f>_xlfn.XLOOKUP(D474,Products!A:A,Products!D:D,"MISSING")</f>
        <v>1800</v>
      </c>
      <c r="I474" s="1" t="str">
        <f t="shared" si="14"/>
        <v>Jan</v>
      </c>
      <c r="J474" s="1">
        <f t="shared" si="15"/>
        <v>7200</v>
      </c>
      <c r="K474" s="1" t="str">
        <f>_xlfn.XLOOKUP(C474,Customers!A:A,Customers!B:B,"MISSING")</f>
        <v>Arjun Malhotra</v>
      </c>
      <c r="L474" s="1" t="str">
        <f>_xlfn.XLOOKUP(D474,Products!A:A,Products!B:B,"MISSING")</f>
        <v>Shirt</v>
      </c>
    </row>
    <row r="475" spans="1:12">
      <c r="A475" s="1">
        <v>1474</v>
      </c>
      <c r="B475" s="1" t="s">
        <v>436</v>
      </c>
      <c r="C475" s="1" t="s">
        <v>83</v>
      </c>
      <c r="D475" s="1" t="s">
        <v>140</v>
      </c>
      <c r="E475" s="1">
        <v>3</v>
      </c>
      <c r="F475" s="1" t="str">
        <f>_xlfn.XLOOKUP(C475,Customers!A:A,Customers!C:C,"MISSING")</f>
        <v>Bangalore</v>
      </c>
      <c r="G475" s="1" t="str">
        <f>_xlfn.XLOOKUP(D475,Products!A:A,Products!C:C,"MISSING")</f>
        <v>Electronics</v>
      </c>
      <c r="H475" s="1">
        <f>_xlfn.XLOOKUP(D475,Products!A:A,Products!D:D,"MISSING")</f>
        <v>20000</v>
      </c>
      <c r="I475" s="1" t="str">
        <f t="shared" si="14"/>
        <v>Sep</v>
      </c>
      <c r="J475" s="1">
        <f t="shared" si="15"/>
        <v>60000</v>
      </c>
      <c r="K475" s="1" t="str">
        <f>_xlfn.XLOOKUP(C475,Customers!A:A,Customers!B:B,"MISSING")</f>
        <v>Priya Kapoor</v>
      </c>
      <c r="L475" s="1" t="str">
        <f>_xlfn.XLOOKUP(D475,Products!A:A,Products!B:B,"MISSING")</f>
        <v>Mobile</v>
      </c>
    </row>
    <row r="476" spans="1:12">
      <c r="A476" s="1">
        <v>1475</v>
      </c>
      <c r="B476" s="1" t="s">
        <v>205</v>
      </c>
      <c r="C476" s="1" t="s">
        <v>81</v>
      </c>
      <c r="D476" s="1" t="s">
        <v>149</v>
      </c>
      <c r="E476" s="1">
        <v>5</v>
      </c>
      <c r="F476" s="1" t="str">
        <f>_xlfn.XLOOKUP(C476,Customers!A:A,Customers!C:C,"MISSING")</f>
        <v>Mumbai</v>
      </c>
      <c r="G476" s="1" t="str">
        <f>_xlfn.XLOOKUP(D476,Products!A:A,Products!C:C,"MISSING")</f>
        <v>Furniture</v>
      </c>
      <c r="H476" s="1">
        <f>_xlfn.XLOOKUP(D476,Products!A:A,Products!D:D,"MISSING")</f>
        <v>25000</v>
      </c>
      <c r="I476" s="1" t="str">
        <f t="shared" si="14"/>
        <v>Aug</v>
      </c>
      <c r="J476" s="1">
        <f t="shared" si="15"/>
        <v>125000</v>
      </c>
      <c r="K476" s="1" t="str">
        <f>_xlfn.XLOOKUP(C476,Customers!A:A,Customers!B:B,"MISSING")</f>
        <v>Arjun Malhotra</v>
      </c>
      <c r="L476" s="1" t="str">
        <f>_xlfn.XLOOKUP(D476,Products!A:A,Products!B:B,"MISSING")</f>
        <v>Sofa</v>
      </c>
    </row>
    <row r="477" spans="1:12">
      <c r="A477" s="1">
        <v>1476</v>
      </c>
      <c r="B477" s="1" t="s">
        <v>437</v>
      </c>
      <c r="C477" s="1" t="s">
        <v>62</v>
      </c>
      <c r="D477" s="1" t="s">
        <v>154</v>
      </c>
      <c r="E477" s="1">
        <v>2</v>
      </c>
      <c r="F477" s="1" t="str">
        <f>_xlfn.XLOOKUP(C477,Customers!A:A,Customers!C:C,"MISSING")</f>
        <v>Delhi</v>
      </c>
      <c r="G477" s="1" t="str">
        <f>_xlfn.XLOOKUP(D477,Products!A:A,Products!C:C,"MISSING")</f>
        <v>Clothing</v>
      </c>
      <c r="H477" s="1">
        <f>_xlfn.XLOOKUP(D477,Products!A:A,Products!D:D,"MISSING")</f>
        <v>2500</v>
      </c>
      <c r="I477" s="1" t="str">
        <f t="shared" si="14"/>
        <v>Mar</v>
      </c>
      <c r="J477" s="1">
        <f t="shared" si="15"/>
        <v>5000</v>
      </c>
      <c r="K477" s="1" t="str">
        <f>_xlfn.XLOOKUP(C477,Customers!A:A,Customers!B:B,"MISSING")</f>
        <v>Ravi Patel</v>
      </c>
      <c r="L477" s="1" t="str">
        <f>_xlfn.XLOOKUP(D477,Products!A:A,Products!B:B,"MISSING")</f>
        <v>Jeans</v>
      </c>
    </row>
    <row r="478" spans="1:12">
      <c r="A478" s="1">
        <v>1477</v>
      </c>
      <c r="B478" s="1" t="s">
        <v>181</v>
      </c>
      <c r="C478" s="1" t="s">
        <v>114</v>
      </c>
      <c r="D478" s="1" t="s">
        <v>156</v>
      </c>
      <c r="E478" s="1">
        <v>1</v>
      </c>
      <c r="F478" s="1" t="str">
        <f>_xlfn.XLOOKUP(C478,Customers!A:A,Customers!C:C,"MISSING")</f>
        <v>Mumbai</v>
      </c>
      <c r="G478" s="1" t="str">
        <f>_xlfn.XLOOKUP(D478,Products!A:A,Products!C:C,"MISSING")</f>
        <v>Clothing</v>
      </c>
      <c r="H478" s="1">
        <f>_xlfn.XLOOKUP(D478,Products!A:A,Products!D:D,"MISSING")</f>
        <v>1800</v>
      </c>
      <c r="I478" s="1" t="str">
        <f t="shared" si="14"/>
        <v>Apr</v>
      </c>
      <c r="J478" s="1">
        <f t="shared" si="15"/>
        <v>1800</v>
      </c>
      <c r="K478" s="1" t="str">
        <f>_xlfn.XLOOKUP(C478,Customers!A:A,Customers!B:B,"MISSING")</f>
        <v>Ishita Bose</v>
      </c>
      <c r="L478" s="1" t="str">
        <f>_xlfn.XLOOKUP(D478,Products!A:A,Products!B:B,"MISSING")</f>
        <v>Shirt</v>
      </c>
    </row>
    <row r="479" spans="1:12">
      <c r="A479" s="1">
        <v>1478</v>
      </c>
      <c r="B479" s="1" t="s">
        <v>290</v>
      </c>
      <c r="C479" s="1" t="s">
        <v>51</v>
      </c>
      <c r="D479" s="1" t="s">
        <v>149</v>
      </c>
      <c r="E479" s="1">
        <v>2</v>
      </c>
      <c r="F479" s="1" t="str">
        <f>_xlfn.XLOOKUP(C479,Customers!A:A,Customers!C:C,"MISSING")</f>
        <v>Mumbai</v>
      </c>
      <c r="G479" s="1" t="str">
        <f>_xlfn.XLOOKUP(D479,Products!A:A,Products!C:C,"MISSING")</f>
        <v>Furniture</v>
      </c>
      <c r="H479" s="1">
        <f>_xlfn.XLOOKUP(D479,Products!A:A,Products!D:D,"MISSING")</f>
        <v>25000</v>
      </c>
      <c r="I479" s="1" t="str">
        <f t="shared" si="14"/>
        <v>Jul</v>
      </c>
      <c r="J479" s="1">
        <f t="shared" si="15"/>
        <v>50000</v>
      </c>
      <c r="K479" s="1" t="str">
        <f>_xlfn.XLOOKUP(C479,Customers!A:A,Customers!B:B,"MISSING")</f>
        <v>Rahul Sharma</v>
      </c>
      <c r="L479" s="1" t="str">
        <f>_xlfn.XLOOKUP(D479,Products!A:A,Products!B:B,"MISSING")</f>
        <v>Sofa</v>
      </c>
    </row>
    <row r="480" spans="1:12">
      <c r="A480" s="1">
        <v>1479</v>
      </c>
      <c r="B480" s="1" t="s">
        <v>220</v>
      </c>
      <c r="C480" s="1" t="s">
        <v>104</v>
      </c>
      <c r="D480" s="1" t="s">
        <v>151</v>
      </c>
      <c r="E480" s="1">
        <v>1</v>
      </c>
      <c r="F480" s="1" t="str">
        <f>_xlfn.XLOOKUP(C480,Customers!A:A,Customers!C:C,"MISSING")</f>
        <v>Ahmedabad</v>
      </c>
      <c r="G480" s="1" t="str">
        <f>_xlfn.XLOOKUP(D480,Products!A:A,Products!C:C,"MISSING")</f>
        <v>Clothing</v>
      </c>
      <c r="H480" s="1">
        <f>_xlfn.XLOOKUP(D480,Products!A:A,Products!D:D,"MISSING")</f>
        <v>1500</v>
      </c>
      <c r="I480" s="1" t="str">
        <f t="shared" si="14"/>
        <v>Oct</v>
      </c>
      <c r="J480" s="1">
        <f t="shared" si="15"/>
        <v>1500</v>
      </c>
      <c r="K480" s="1" t="str">
        <f>_xlfn.XLOOKUP(C480,Customers!A:A,Customers!B:B,"MISSING")</f>
        <v>Amit Verma</v>
      </c>
      <c r="L480" s="1" t="str">
        <f>_xlfn.XLOOKUP(D480,Products!A:A,Products!B:B,"MISSING")</f>
        <v>T-Shirt</v>
      </c>
    </row>
    <row r="481" spans="1:12">
      <c r="A481" s="1">
        <v>1480</v>
      </c>
      <c r="B481" s="1" t="s">
        <v>438</v>
      </c>
      <c r="C481" s="1" t="s">
        <v>91</v>
      </c>
      <c r="D481" s="1" t="s">
        <v>149</v>
      </c>
      <c r="E481" s="1">
        <v>4</v>
      </c>
      <c r="F481" s="1" t="str">
        <f>_xlfn.XLOOKUP(C481,Customers!A:A,Customers!C:C,"MISSING")</f>
        <v>Jaipur</v>
      </c>
      <c r="G481" s="1" t="str">
        <f>_xlfn.XLOOKUP(D481,Products!A:A,Products!C:C,"MISSING")</f>
        <v>Furniture</v>
      </c>
      <c r="H481" s="1">
        <f>_xlfn.XLOOKUP(D481,Products!A:A,Products!D:D,"MISSING")</f>
        <v>25000</v>
      </c>
      <c r="I481" s="1" t="str">
        <f t="shared" si="14"/>
        <v>Apr</v>
      </c>
      <c r="J481" s="1">
        <f t="shared" si="15"/>
        <v>100000</v>
      </c>
      <c r="K481" s="1" t="str">
        <f>_xlfn.XLOOKUP(C481,Customers!A:A,Customers!B:B,"MISSING")</f>
        <v>Karan Mehta</v>
      </c>
      <c r="L481" s="1" t="str">
        <f>_xlfn.XLOOKUP(D481,Products!A:A,Products!B:B,"MISSING")</f>
        <v>Sofa</v>
      </c>
    </row>
    <row r="482" spans="1:12">
      <c r="A482" s="1">
        <v>1481</v>
      </c>
      <c r="B482" s="1" t="s">
        <v>212</v>
      </c>
      <c r="C482" s="1" t="s">
        <v>98</v>
      </c>
      <c r="D482" s="1" t="s">
        <v>149</v>
      </c>
      <c r="E482" s="1">
        <v>3</v>
      </c>
      <c r="F482" s="1" t="str">
        <f>_xlfn.XLOOKUP(C482,Customers!A:A,Customers!C:C,"MISSING")</f>
        <v>Bangalore</v>
      </c>
      <c r="G482" s="1" t="str">
        <f>_xlfn.XLOOKUP(D482,Products!A:A,Products!C:C,"MISSING")</f>
        <v>Furniture</v>
      </c>
      <c r="H482" s="1">
        <f>_xlfn.XLOOKUP(D482,Products!A:A,Products!D:D,"MISSING")</f>
        <v>25000</v>
      </c>
      <c r="I482" s="1" t="str">
        <f t="shared" si="14"/>
        <v>Jul</v>
      </c>
      <c r="J482" s="1">
        <f t="shared" si="15"/>
        <v>75000</v>
      </c>
      <c r="K482" s="1" t="str">
        <f>_xlfn.XLOOKUP(C482,Customers!A:A,Customers!B:B,"MISSING")</f>
        <v>Pooja Jain</v>
      </c>
      <c r="L482" s="1" t="str">
        <f>_xlfn.XLOOKUP(D482,Products!A:A,Products!B:B,"MISSING")</f>
        <v>Sofa</v>
      </c>
    </row>
    <row r="483" spans="1:12">
      <c r="A483" s="1">
        <v>1482</v>
      </c>
      <c r="B483" s="1" t="s">
        <v>423</v>
      </c>
      <c r="C483" s="1" t="s">
        <v>33</v>
      </c>
      <c r="D483" s="1" t="s">
        <v>158</v>
      </c>
      <c r="E483" s="1">
        <v>3</v>
      </c>
      <c r="F483" s="1" t="str">
        <f>_xlfn.XLOOKUP(C483,Customers!A:A,Customers!C:C,"MISSING")</f>
        <v>Ahmedabad</v>
      </c>
      <c r="G483" s="1" t="str">
        <f>_xlfn.XLOOKUP(D483,Products!A:A,Products!C:C,"MISSING")</f>
        <v>Clothing</v>
      </c>
      <c r="H483" s="1">
        <f>_xlfn.XLOOKUP(D483,Products!A:A,Products!D:D,"MISSING")</f>
        <v>3500</v>
      </c>
      <c r="I483" s="1" t="str">
        <f t="shared" si="14"/>
        <v>Dec</v>
      </c>
      <c r="J483" s="1">
        <f t="shared" si="15"/>
        <v>10500</v>
      </c>
      <c r="K483" s="1" t="str">
        <f>_xlfn.XLOOKUP(C483,Customers!A:A,Customers!B:B,"MISSING")</f>
        <v>Priya Kapoor</v>
      </c>
      <c r="L483" s="1" t="str">
        <f>_xlfn.XLOOKUP(D483,Products!A:A,Products!B:B,"MISSING")</f>
        <v>Shoes</v>
      </c>
    </row>
    <row r="484" spans="1:12">
      <c r="A484" s="1">
        <v>1483</v>
      </c>
      <c r="B484" s="1" t="s">
        <v>431</v>
      </c>
      <c r="C484" s="1" t="s">
        <v>66</v>
      </c>
      <c r="D484" s="1" t="s">
        <v>147</v>
      </c>
      <c r="E484" s="1">
        <v>3</v>
      </c>
      <c r="F484" s="1" t="str">
        <f>_xlfn.XLOOKUP(C484,Customers!A:A,Customers!C:C,"MISSING")</f>
        <v>Ahmedabad</v>
      </c>
      <c r="G484" s="1" t="str">
        <f>_xlfn.XLOOKUP(D484,Products!A:A,Products!C:C,"MISSING")</f>
        <v>Furniture</v>
      </c>
      <c r="H484" s="1">
        <f>_xlfn.XLOOKUP(D484,Products!A:A,Products!D:D,"MISSING")</f>
        <v>7000</v>
      </c>
      <c r="I484" s="1" t="str">
        <f t="shared" si="14"/>
        <v>Nov</v>
      </c>
      <c r="J484" s="1">
        <f t="shared" si="15"/>
        <v>21000</v>
      </c>
      <c r="K484" s="1" t="str">
        <f>_xlfn.XLOOKUP(C484,Customers!A:A,Customers!B:B,"MISSING")</f>
        <v>Sejal Shah</v>
      </c>
      <c r="L484" s="1" t="str">
        <f>_xlfn.XLOOKUP(D484,Products!A:A,Products!B:B,"MISSING")</f>
        <v>Table</v>
      </c>
    </row>
    <row r="485" spans="1:12">
      <c r="A485" s="1">
        <v>1484</v>
      </c>
      <c r="B485" s="1" t="s">
        <v>439</v>
      </c>
      <c r="C485" s="1" t="s">
        <v>79</v>
      </c>
      <c r="D485" s="1" t="s">
        <v>151</v>
      </c>
      <c r="E485" s="1">
        <v>3</v>
      </c>
      <c r="F485" s="1" t="str">
        <f>_xlfn.XLOOKUP(C485,Customers!A:A,Customers!C:C,"MISSING")</f>
        <v>Lucknow</v>
      </c>
      <c r="G485" s="1" t="str">
        <f>_xlfn.XLOOKUP(D485,Products!A:A,Products!C:C,"MISSING")</f>
        <v>Clothing</v>
      </c>
      <c r="H485" s="1">
        <f>_xlfn.XLOOKUP(D485,Products!A:A,Products!D:D,"MISSING")</f>
        <v>1500</v>
      </c>
      <c r="I485" s="1" t="str">
        <f t="shared" si="14"/>
        <v>Sep</v>
      </c>
      <c r="J485" s="1">
        <f t="shared" si="15"/>
        <v>4500</v>
      </c>
      <c r="K485" s="1" t="str">
        <f>_xlfn.XLOOKUP(C485,Customers!A:A,Customers!B:B,"MISSING")</f>
        <v>Rahul Sharma</v>
      </c>
      <c r="L485" s="1" t="str">
        <f>_xlfn.XLOOKUP(D485,Products!A:A,Products!B:B,"MISSING")</f>
        <v>T-Shirt</v>
      </c>
    </row>
    <row r="486" spans="1:12">
      <c r="A486" s="1">
        <v>1485</v>
      </c>
      <c r="B486" s="1" t="s">
        <v>280</v>
      </c>
      <c r="C486" s="1" t="s">
        <v>58</v>
      </c>
      <c r="D486" s="1" t="s">
        <v>140</v>
      </c>
      <c r="E486" s="1">
        <v>1</v>
      </c>
      <c r="F486" s="1" t="str">
        <f>_xlfn.XLOOKUP(C486,Customers!A:A,Customers!C:C,"MISSING")</f>
        <v>Bangalore</v>
      </c>
      <c r="G486" s="1" t="str">
        <f>_xlfn.XLOOKUP(D486,Products!A:A,Products!C:C,"MISSING")</f>
        <v>Electronics</v>
      </c>
      <c r="H486" s="1">
        <f>_xlfn.XLOOKUP(D486,Products!A:A,Products!D:D,"MISSING")</f>
        <v>20000</v>
      </c>
      <c r="I486" s="1" t="str">
        <f t="shared" si="14"/>
        <v>Jan</v>
      </c>
      <c r="J486" s="1">
        <f t="shared" si="15"/>
        <v>20000</v>
      </c>
      <c r="K486" s="1" t="str">
        <f>_xlfn.XLOOKUP(C486,Customers!A:A,Customers!B:B,"MISSING")</f>
        <v>Rohit Sen</v>
      </c>
      <c r="L486" s="1" t="str">
        <f>_xlfn.XLOOKUP(D486,Products!A:A,Products!B:B,"MISSING")</f>
        <v>Mobile</v>
      </c>
    </row>
    <row r="487" spans="1:12">
      <c r="A487" s="1">
        <v>1486</v>
      </c>
      <c r="B487" s="1" t="s">
        <v>283</v>
      </c>
      <c r="C487" s="1" t="s">
        <v>3</v>
      </c>
      <c r="D487" s="1" t="s">
        <v>142</v>
      </c>
      <c r="E487" s="1">
        <v>1</v>
      </c>
      <c r="F487" s="1" t="str">
        <f>_xlfn.XLOOKUP(C487,Customers!A:A,Customers!C:C,"MISSING")</f>
        <v>Lucknow</v>
      </c>
      <c r="G487" s="1" t="str">
        <f>_xlfn.XLOOKUP(D487,Products!A:A,Products!C:C,"MISSING")</f>
        <v>Electronics</v>
      </c>
      <c r="H487" s="1">
        <f>_xlfn.XLOOKUP(D487,Products!A:A,Products!D:D,"MISSING")</f>
        <v>15000</v>
      </c>
      <c r="I487" s="1" t="str">
        <f t="shared" si="14"/>
        <v>Aug</v>
      </c>
      <c r="J487" s="1">
        <f t="shared" si="15"/>
        <v>15000</v>
      </c>
      <c r="K487" s="1" t="str">
        <f>_xlfn.XLOOKUP(C487,Customers!A:A,Customers!B:B,"MISSING")</f>
        <v>Amit Verma</v>
      </c>
      <c r="L487" s="1" t="str">
        <f>_xlfn.XLOOKUP(D487,Products!A:A,Products!B:B,"MISSING")</f>
        <v>Tablet</v>
      </c>
    </row>
    <row r="488" spans="1:12">
      <c r="A488" s="1">
        <v>1487</v>
      </c>
      <c r="B488" s="1" t="s">
        <v>322</v>
      </c>
      <c r="C488" s="1" t="s">
        <v>104</v>
      </c>
      <c r="D488" s="1" t="s">
        <v>142</v>
      </c>
      <c r="E488" s="1">
        <v>3</v>
      </c>
      <c r="F488" s="1" t="str">
        <f>_xlfn.XLOOKUP(C488,Customers!A:A,Customers!C:C,"MISSING")</f>
        <v>Ahmedabad</v>
      </c>
      <c r="G488" s="1" t="str">
        <f>_xlfn.XLOOKUP(D488,Products!A:A,Products!C:C,"MISSING")</f>
        <v>Electronics</v>
      </c>
      <c r="H488" s="1">
        <f>_xlfn.XLOOKUP(D488,Products!A:A,Products!D:D,"MISSING")</f>
        <v>15000</v>
      </c>
      <c r="I488" s="1" t="str">
        <f t="shared" si="14"/>
        <v>Aug</v>
      </c>
      <c r="J488" s="1">
        <f t="shared" si="15"/>
        <v>45000</v>
      </c>
      <c r="K488" s="1" t="str">
        <f>_xlfn.XLOOKUP(C488,Customers!A:A,Customers!B:B,"MISSING")</f>
        <v>Amit Verma</v>
      </c>
      <c r="L488" s="1" t="str">
        <f>_xlfn.XLOOKUP(D488,Products!A:A,Products!B:B,"MISSING")</f>
        <v>Tablet</v>
      </c>
    </row>
    <row r="489" spans="1:12">
      <c r="A489" s="1">
        <v>1488</v>
      </c>
      <c r="B489" s="1" t="s">
        <v>319</v>
      </c>
      <c r="C489" s="1" t="s">
        <v>81</v>
      </c>
      <c r="D489" s="1" t="s">
        <v>142</v>
      </c>
      <c r="E489" s="1">
        <v>5</v>
      </c>
      <c r="F489" s="1" t="str">
        <f>_xlfn.XLOOKUP(C489,Customers!A:A,Customers!C:C,"MISSING")</f>
        <v>Mumbai</v>
      </c>
      <c r="G489" s="1" t="str">
        <f>_xlfn.XLOOKUP(D489,Products!A:A,Products!C:C,"MISSING")</f>
        <v>Electronics</v>
      </c>
      <c r="H489" s="1">
        <f>_xlfn.XLOOKUP(D489,Products!A:A,Products!D:D,"MISSING")</f>
        <v>15000</v>
      </c>
      <c r="I489" s="1" t="str">
        <f t="shared" si="14"/>
        <v>Jun</v>
      </c>
      <c r="J489" s="1">
        <f t="shared" si="15"/>
        <v>75000</v>
      </c>
      <c r="K489" s="1" t="str">
        <f>_xlfn.XLOOKUP(C489,Customers!A:A,Customers!B:B,"MISSING")</f>
        <v>Arjun Malhotra</v>
      </c>
      <c r="L489" s="1" t="str">
        <f>_xlfn.XLOOKUP(D489,Products!A:A,Products!B:B,"MISSING")</f>
        <v>Tablet</v>
      </c>
    </row>
    <row r="490" spans="1:12">
      <c r="A490" s="1">
        <v>1489</v>
      </c>
      <c r="B490" s="1" t="s">
        <v>440</v>
      </c>
      <c r="C490" s="1" t="s">
        <v>126</v>
      </c>
      <c r="D490" s="1" t="s">
        <v>158</v>
      </c>
      <c r="E490" s="1">
        <v>4</v>
      </c>
      <c r="F490" s="1" t="str">
        <f>_xlfn.XLOOKUP(C490,Customers!A:A,Customers!C:C,"MISSING")</f>
        <v>Mumbai</v>
      </c>
      <c r="G490" s="1" t="str">
        <f>_xlfn.XLOOKUP(D490,Products!A:A,Products!C:C,"MISSING")</f>
        <v>Clothing</v>
      </c>
      <c r="H490" s="1">
        <f>_xlfn.XLOOKUP(D490,Products!A:A,Products!D:D,"MISSING")</f>
        <v>3500</v>
      </c>
      <c r="I490" s="1" t="str">
        <f t="shared" si="14"/>
        <v>Aug</v>
      </c>
      <c r="J490" s="1">
        <f t="shared" si="15"/>
        <v>14000</v>
      </c>
      <c r="K490" s="1" t="str">
        <f>_xlfn.XLOOKUP(C490,Customers!A:A,Customers!B:B,"MISSING")</f>
        <v>Sejal Shah</v>
      </c>
      <c r="L490" s="1" t="str">
        <f>_xlfn.XLOOKUP(D490,Products!A:A,Products!B:B,"MISSING")</f>
        <v>Shoes</v>
      </c>
    </row>
    <row r="491" spans="1:12">
      <c r="A491" s="1">
        <v>1490</v>
      </c>
      <c r="B491" s="1" t="s">
        <v>394</v>
      </c>
      <c r="C491" s="1" t="s">
        <v>127</v>
      </c>
      <c r="D491" s="1" t="s">
        <v>144</v>
      </c>
      <c r="E491" s="1">
        <v>4</v>
      </c>
      <c r="F491" s="1" t="str">
        <f>_xlfn.XLOOKUP(C491,Customers!A:A,Customers!C:C,"MISSING")</f>
        <v>Pune</v>
      </c>
      <c r="G491" s="1" t="str">
        <f>_xlfn.XLOOKUP(D491,Products!A:A,Products!C:C,"MISSING")</f>
        <v>Furniture</v>
      </c>
      <c r="H491" s="1">
        <f>_xlfn.XLOOKUP(D491,Products!A:A,Products!D:D,"MISSING")</f>
        <v>3000</v>
      </c>
      <c r="I491" s="1" t="str">
        <f t="shared" si="14"/>
        <v>Aug</v>
      </c>
      <c r="J491" s="1">
        <f t="shared" si="15"/>
        <v>12000</v>
      </c>
      <c r="K491" s="1" t="str">
        <f>_xlfn.XLOOKUP(C491,Customers!A:A,Customers!B:B,"MISSING")</f>
        <v>Ravi Patel</v>
      </c>
      <c r="L491" s="1" t="str">
        <f>_xlfn.XLOOKUP(D491,Products!A:A,Products!B:B,"MISSING")</f>
        <v>Chair</v>
      </c>
    </row>
    <row r="492" spans="1:12">
      <c r="A492" s="1">
        <v>1491</v>
      </c>
      <c r="B492" s="1" t="s">
        <v>441</v>
      </c>
      <c r="C492" s="1" t="s">
        <v>20</v>
      </c>
      <c r="D492" s="1" t="s">
        <v>144</v>
      </c>
      <c r="E492" s="1">
        <v>5</v>
      </c>
      <c r="F492" s="1" t="str">
        <f>_xlfn.XLOOKUP(C492,Customers!A:A,Customers!C:C,"MISSING")</f>
        <v>Bangalore</v>
      </c>
      <c r="G492" s="1" t="str">
        <f>_xlfn.XLOOKUP(D492,Products!A:A,Products!C:C,"MISSING")</f>
        <v>Furniture</v>
      </c>
      <c r="H492" s="1">
        <f>_xlfn.XLOOKUP(D492,Products!A:A,Products!D:D,"MISSING")</f>
        <v>3000</v>
      </c>
      <c r="I492" s="1" t="str">
        <f t="shared" si="14"/>
        <v>Aug</v>
      </c>
      <c r="J492" s="1">
        <f t="shared" si="15"/>
        <v>15000</v>
      </c>
      <c r="K492" s="1" t="str">
        <f>_xlfn.XLOOKUP(C492,Customers!A:A,Customers!B:B,"MISSING")</f>
        <v>Komal Gupta</v>
      </c>
      <c r="L492" s="1" t="str">
        <f>_xlfn.XLOOKUP(D492,Products!A:A,Products!B:B,"MISSING")</f>
        <v>Chair</v>
      </c>
    </row>
    <row r="493" spans="1:12">
      <c r="A493" s="1">
        <v>1492</v>
      </c>
      <c r="B493" s="1" t="s">
        <v>273</v>
      </c>
      <c r="C493" s="1" t="s">
        <v>108</v>
      </c>
      <c r="D493" s="1" t="s">
        <v>151</v>
      </c>
      <c r="E493" s="1">
        <v>1</v>
      </c>
      <c r="F493" s="1" t="str">
        <f>_xlfn.XLOOKUP(C493,Customers!A:A,Customers!C:C,"MISSING")</f>
        <v>Bangalore</v>
      </c>
      <c r="G493" s="1" t="str">
        <f>_xlfn.XLOOKUP(D493,Products!A:A,Products!C:C,"MISSING")</f>
        <v>Clothing</v>
      </c>
      <c r="H493" s="1">
        <f>_xlfn.XLOOKUP(D493,Products!A:A,Products!D:D,"MISSING")</f>
        <v>1500</v>
      </c>
      <c r="I493" s="1" t="str">
        <f t="shared" si="14"/>
        <v>Aug</v>
      </c>
      <c r="J493" s="1">
        <f t="shared" si="15"/>
        <v>1500</v>
      </c>
      <c r="K493" s="1" t="str">
        <f>_xlfn.XLOOKUP(C493,Customers!A:A,Customers!B:B,"MISSING")</f>
        <v>Komal Gupta</v>
      </c>
      <c r="L493" s="1" t="str">
        <f>_xlfn.XLOOKUP(D493,Products!A:A,Products!B:B,"MISSING")</f>
        <v>T-Shirt</v>
      </c>
    </row>
    <row r="494" spans="1:12">
      <c r="A494" s="1">
        <v>1493</v>
      </c>
      <c r="B494" s="1" t="s">
        <v>442</v>
      </c>
      <c r="C494" s="1" t="s">
        <v>55</v>
      </c>
      <c r="D494" s="1" t="s">
        <v>154</v>
      </c>
      <c r="E494" s="1">
        <v>5</v>
      </c>
      <c r="F494" s="1" t="str">
        <f>_xlfn.XLOOKUP(C494,Customers!A:A,Customers!C:C,"MISSING")</f>
        <v>Jaipur</v>
      </c>
      <c r="G494" s="1" t="str">
        <f>_xlfn.XLOOKUP(D494,Products!A:A,Products!C:C,"MISSING")</f>
        <v>Clothing</v>
      </c>
      <c r="H494" s="1">
        <f>_xlfn.XLOOKUP(D494,Products!A:A,Products!D:D,"MISSING")</f>
        <v>2500</v>
      </c>
      <c r="I494" s="1" t="str">
        <f t="shared" si="14"/>
        <v>Sep</v>
      </c>
      <c r="J494" s="1">
        <f t="shared" si="15"/>
        <v>12500</v>
      </c>
      <c r="K494" s="1" t="str">
        <f>_xlfn.XLOOKUP(C494,Customers!A:A,Customers!B:B,"MISSING")</f>
        <v>Neha Singh</v>
      </c>
      <c r="L494" s="1" t="str">
        <f>_xlfn.XLOOKUP(D494,Products!A:A,Products!B:B,"MISSING")</f>
        <v>Jeans</v>
      </c>
    </row>
    <row r="495" spans="1:12">
      <c r="A495" s="1">
        <v>1494</v>
      </c>
      <c r="B495" s="1" t="s">
        <v>181</v>
      </c>
      <c r="C495" s="1" t="s">
        <v>110</v>
      </c>
      <c r="D495" s="1" t="s">
        <v>154</v>
      </c>
      <c r="E495" s="1">
        <v>1</v>
      </c>
      <c r="F495" s="1" t="str">
        <f>_xlfn.XLOOKUP(C495,Customers!A:A,Customers!C:C,"MISSING")</f>
        <v>Delhi</v>
      </c>
      <c r="G495" s="1" t="str">
        <f>_xlfn.XLOOKUP(D495,Products!A:A,Products!C:C,"MISSING")</f>
        <v>Clothing</v>
      </c>
      <c r="H495" s="1">
        <f>_xlfn.XLOOKUP(D495,Products!A:A,Products!D:D,"MISSING")</f>
        <v>2500</v>
      </c>
      <c r="I495" s="1" t="str">
        <f t="shared" si="14"/>
        <v>Apr</v>
      </c>
      <c r="J495" s="1">
        <f t="shared" si="15"/>
        <v>2500</v>
      </c>
      <c r="K495" s="1" t="str">
        <f>_xlfn.XLOOKUP(C495,Customers!A:A,Customers!B:B,"MISSING")</f>
        <v>Meera Kulkarni</v>
      </c>
      <c r="L495" s="1" t="str">
        <f>_xlfn.XLOOKUP(D495,Products!A:A,Products!B:B,"MISSING")</f>
        <v>Jeans</v>
      </c>
    </row>
    <row r="496" spans="1:12">
      <c r="A496" s="1">
        <v>1495</v>
      </c>
      <c r="B496" s="1" t="s">
        <v>178</v>
      </c>
      <c r="C496" s="1" t="s">
        <v>60</v>
      </c>
      <c r="D496" s="1" t="s">
        <v>140</v>
      </c>
      <c r="E496" s="1">
        <v>1</v>
      </c>
      <c r="F496" s="1" t="str">
        <f>_xlfn.XLOOKUP(C496,Customers!A:A,Customers!C:C,"MISSING")</f>
        <v>Delhi</v>
      </c>
      <c r="G496" s="1" t="str">
        <f>_xlfn.XLOOKUP(D496,Products!A:A,Products!C:C,"MISSING")</f>
        <v>Electronics</v>
      </c>
      <c r="H496" s="1">
        <f>_xlfn.XLOOKUP(D496,Products!A:A,Products!D:D,"MISSING")</f>
        <v>20000</v>
      </c>
      <c r="I496" s="1" t="str">
        <f t="shared" si="14"/>
        <v>Jul</v>
      </c>
      <c r="J496" s="1">
        <f t="shared" si="15"/>
        <v>20000</v>
      </c>
      <c r="K496" s="1" t="str">
        <f>_xlfn.XLOOKUP(C496,Customers!A:A,Customers!B:B,"MISSING")</f>
        <v>Amit Verma</v>
      </c>
      <c r="L496" s="1" t="str">
        <f>_xlfn.XLOOKUP(D496,Products!A:A,Products!B:B,"MISSING")</f>
        <v>Mobile</v>
      </c>
    </row>
    <row r="497" spans="1:12">
      <c r="A497" s="1">
        <v>1496</v>
      </c>
      <c r="B497" s="1" t="s">
        <v>443</v>
      </c>
      <c r="C497" s="1" t="s">
        <v>70</v>
      </c>
      <c r="D497" s="1" t="s">
        <v>149</v>
      </c>
      <c r="E497" s="1">
        <v>1</v>
      </c>
      <c r="F497" s="1" t="str">
        <f>_xlfn.XLOOKUP(C497,Customers!A:A,Customers!C:C,"MISSING")</f>
        <v>Delhi</v>
      </c>
      <c r="G497" s="1" t="str">
        <f>_xlfn.XLOOKUP(D497,Products!A:A,Products!C:C,"MISSING")</f>
        <v>Furniture</v>
      </c>
      <c r="H497" s="1">
        <f>_xlfn.XLOOKUP(D497,Products!A:A,Products!D:D,"MISSING")</f>
        <v>25000</v>
      </c>
      <c r="I497" s="1" t="str">
        <f t="shared" si="14"/>
        <v>Feb</v>
      </c>
      <c r="J497" s="1">
        <f t="shared" si="15"/>
        <v>25000</v>
      </c>
      <c r="K497" s="1" t="str">
        <f>_xlfn.XLOOKUP(C497,Customers!A:A,Customers!B:B,"MISSING")</f>
        <v>Amit Verma</v>
      </c>
      <c r="L497" s="1" t="str">
        <f>_xlfn.XLOOKUP(D497,Products!A:A,Products!B:B,"MISSING")</f>
        <v>Sofa</v>
      </c>
    </row>
    <row r="498" spans="1:12">
      <c r="A498" s="1">
        <v>1497</v>
      </c>
      <c r="B498" s="1" t="s">
        <v>176</v>
      </c>
      <c r="C498" s="1" t="s">
        <v>29</v>
      </c>
      <c r="D498" s="1" t="s">
        <v>147</v>
      </c>
      <c r="E498" s="1">
        <v>2</v>
      </c>
      <c r="F498" s="1" t="str">
        <f>_xlfn.XLOOKUP(C498,Customers!A:A,Customers!C:C,"MISSING")</f>
        <v>Chennai</v>
      </c>
      <c r="G498" s="1" t="str">
        <f>_xlfn.XLOOKUP(D498,Products!A:A,Products!C:C,"MISSING")</f>
        <v>Furniture</v>
      </c>
      <c r="H498" s="1">
        <f>_xlfn.XLOOKUP(D498,Products!A:A,Products!D:D,"MISSING")</f>
        <v>7000</v>
      </c>
      <c r="I498" s="1" t="str">
        <f t="shared" si="14"/>
        <v>May</v>
      </c>
      <c r="J498" s="1">
        <f t="shared" si="15"/>
        <v>14000</v>
      </c>
      <c r="K498" s="1" t="str">
        <f>_xlfn.XLOOKUP(C498,Customers!A:A,Customers!B:B,"MISSING")</f>
        <v>Sejal Shah</v>
      </c>
      <c r="L498" s="1" t="str">
        <f>_xlfn.XLOOKUP(D498,Products!A:A,Products!B:B,"MISSING")</f>
        <v>Table</v>
      </c>
    </row>
    <row r="499" spans="1:12">
      <c r="A499" s="1">
        <v>1498</v>
      </c>
      <c r="B499" s="1" t="s">
        <v>439</v>
      </c>
      <c r="C499" s="1" t="s">
        <v>112</v>
      </c>
      <c r="D499" s="1" t="s">
        <v>158</v>
      </c>
      <c r="E499" s="1">
        <v>5</v>
      </c>
      <c r="F499" s="1" t="str">
        <f>_xlfn.XLOOKUP(C499,Customers!A:A,Customers!C:C,"MISSING")</f>
        <v>Lucknow</v>
      </c>
      <c r="G499" s="1" t="str">
        <f>_xlfn.XLOOKUP(D499,Products!A:A,Products!C:C,"MISSING")</f>
        <v>Clothing</v>
      </c>
      <c r="H499" s="1">
        <f>_xlfn.XLOOKUP(D499,Products!A:A,Products!D:D,"MISSING")</f>
        <v>3500</v>
      </c>
      <c r="I499" s="1" t="str">
        <f t="shared" si="14"/>
        <v>Sep</v>
      </c>
      <c r="J499" s="1">
        <f t="shared" si="15"/>
        <v>17500</v>
      </c>
      <c r="K499" s="1" t="str">
        <f>_xlfn.XLOOKUP(C499,Customers!A:A,Customers!B:B,"MISSING")</f>
        <v>Manav Arora</v>
      </c>
      <c r="L499" s="1" t="str">
        <f>_xlfn.XLOOKUP(D499,Products!A:A,Products!B:B,"MISSING")</f>
        <v>Shoes</v>
      </c>
    </row>
    <row r="500" spans="1:12">
      <c r="A500" s="1">
        <v>1499</v>
      </c>
      <c r="B500" s="1" t="s">
        <v>280</v>
      </c>
      <c r="C500" s="1" t="s">
        <v>36</v>
      </c>
      <c r="D500" s="1" t="s">
        <v>149</v>
      </c>
      <c r="E500" s="1">
        <v>2</v>
      </c>
      <c r="F500" s="1" t="str">
        <f>_xlfn.XLOOKUP(C500,Customers!A:A,Customers!C:C,"MISSING")</f>
        <v>Delhi</v>
      </c>
      <c r="G500" s="1" t="str">
        <f>_xlfn.XLOOKUP(D500,Products!A:A,Products!C:C,"MISSING")</f>
        <v>Furniture</v>
      </c>
      <c r="H500" s="1">
        <f>_xlfn.XLOOKUP(D500,Products!A:A,Products!D:D,"MISSING")</f>
        <v>25000</v>
      </c>
      <c r="I500" s="1" t="str">
        <f t="shared" si="14"/>
        <v>Jan</v>
      </c>
      <c r="J500" s="1">
        <f t="shared" si="15"/>
        <v>50000</v>
      </c>
      <c r="K500" s="1" t="str">
        <f>_xlfn.XLOOKUP(C500,Customers!A:A,Customers!B:B,"MISSING")</f>
        <v>Karan Mehta</v>
      </c>
      <c r="L500" s="1" t="str">
        <f>_xlfn.XLOOKUP(D500,Products!A:A,Products!B:B,"MISSING")</f>
        <v>Sofa</v>
      </c>
    </row>
    <row r="501" spans="1:12">
      <c r="A501" s="1">
        <v>1500</v>
      </c>
      <c r="B501" s="1" t="s">
        <v>444</v>
      </c>
      <c r="C501" s="1" t="s">
        <v>112</v>
      </c>
      <c r="D501" s="1" t="s">
        <v>149</v>
      </c>
      <c r="E501" s="1">
        <v>2</v>
      </c>
      <c r="F501" s="1" t="str">
        <f>_xlfn.XLOOKUP(C501,Customers!A:A,Customers!C:C,"MISSING")</f>
        <v>Lucknow</v>
      </c>
      <c r="G501" s="1" t="str">
        <f>_xlfn.XLOOKUP(D501,Products!A:A,Products!C:C,"MISSING")</f>
        <v>Furniture</v>
      </c>
      <c r="H501" s="1">
        <f>_xlfn.XLOOKUP(D501,Products!A:A,Products!D:D,"MISSING")</f>
        <v>25000</v>
      </c>
      <c r="I501" s="1" t="str">
        <f t="shared" si="14"/>
        <v>Nov</v>
      </c>
      <c r="J501" s="1">
        <f t="shared" si="15"/>
        <v>50000</v>
      </c>
      <c r="K501" s="1" t="str">
        <f>_xlfn.XLOOKUP(C501,Customers!A:A,Customers!B:B,"MISSING")</f>
        <v>Manav Arora</v>
      </c>
      <c r="L501" s="1" t="str">
        <f>_xlfn.XLOOKUP(D501,Products!A:A,Products!B:B,"MISSING")</f>
        <v>Sofa</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Customers</vt:lpstr>
      <vt:lpstr>Products</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Dharmendra pandey</cp:lastModifiedBy>
  <dcterms:created xsi:type="dcterms:W3CDTF">2026-04-29T06:33:29Z</dcterms:created>
  <dcterms:modified xsi:type="dcterms:W3CDTF">2026-07-17T09:20:07Z</dcterms:modified>
</cp:coreProperties>
</file>